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3.vml" ContentType="application/vnd.openxmlformats-officedocument.vmlDrawing"/>
  <Override PartName="/xl/drawings/vmlDrawing2.vml" ContentType="application/vnd.openxmlformats-officedocument.vmlDrawing"/>
  <Override PartName="/xl/drawings/drawing10.xml" ContentType="application/vnd.openxmlformats-officedocument.drawing+xml"/>
  <Override PartName="/xl/drawings/drawing5.xml" ContentType="application/vnd.openxmlformats-officedocument.drawing+xml"/>
  <Override PartName="/xl/drawings/vmlDrawing4.vml" ContentType="application/vnd.openxmlformats-officedocument.vmlDrawing"/>
  <Override PartName="/xl/drawings/drawing12.xml" ContentType="application/vnd.openxmlformats-officedocument.drawing+xml"/>
  <Override PartName="/xl/drawings/vmlDrawing5.vml" ContentType="application/vnd.openxmlformats-officedocument.vmlDrawing"/>
  <Override PartName="/xl/drawings/drawing13.xml" ContentType="application/vnd.openxmlformats-officedocument.drawing+xml"/>
  <Override PartName="/xl/drawings/vmlDrawing6.vml" ContentType="application/vnd.openxmlformats-officedocument.vmlDrawing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ctrlProps/ctrlProps2.xml" ContentType="application/vnd.ms-excel.controlproperties+xml"/>
  <Override PartName="/xl/ctrlProps/ctrlProps14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11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5.xml" ContentType="application/vnd.ms-excel.controlproperties+xml"/>
  <Override PartName="/xl/ctrlProps/ctrlProps16.xml" ContentType="application/vnd.ms-excel.controlproperties+xml"/>
  <Override PartName="/xl/ctrlProps/ctrlProps17.xml" ContentType="application/vnd.ms-excel.controlproperties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nalyzer" sheetId="1" state="visible" r:id="rId3"/>
    <sheet name="IPHEATAnalyzer" sheetId="2" state="visible" r:id="rId4"/>
    <sheet name="Farben" sheetId="3" state="visible" r:id="rId5"/>
    <sheet name="HEATMAP" sheetId="4" state="visible" r:id="rId6"/>
    <sheet name="HEATAnalyzer" sheetId="5" state="visible" r:id="rId7"/>
    <sheet name="Matrix 2003" sheetId="6" state="visible" r:id="rId8"/>
    <sheet name="SICHERUNG" sheetId="7" state="hidden" r:id="rId9"/>
    <sheet name="DIAGRAMME" sheetId="8" state="visible" r:id="rId10"/>
    <sheet name="Tabelle3" sheetId="9" state="hidden" r:id="rId11"/>
    <sheet name="Tabelle2" sheetId="10" state="hidden" r:id="rId12"/>
    <sheet name="Tabelle1" sheetId="11" state="hidden" r:id="rId13"/>
  </sheets>
  <definedNames>
    <definedName function="false" hidden="false" localSheetId="0" name="_xlnm.Print_Area" vbProcedure="false">Analyzer!$A$2:$BB$56</definedName>
    <definedName function="false" hidden="false" localSheetId="4" name="_xlnm.Print_Area" vbProcedure="false">HEATAnalyzer!$A$1:$BC$55</definedName>
    <definedName function="false" hidden="false" localSheetId="3" name="_xlnm.Print_Area" vbProcedure="false">HEATMAP!$A$2:$BB$56</definedName>
    <definedName function="false" hidden="false" localSheetId="1" name="_xlnm.Print_Area" vbProcedure="false">IPHEATAnalyzer!$A$1:$BC$55</definedName>
    <definedName function="false" hidden="false" localSheetId="5" name="_xlnm.Print_Area" vbProcedure="false">'Matrix 2003'!$A$2:$BB$56</definedName>
    <definedName function="false" hidden="false" localSheetId="6" name="_xlnm.Print_Area" vbProcedure="false">SICHERUNG!$A$2:$BB$56</definedName>
  </definedNames>
  <calcPr iterateCount="100" refMode="R1C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AV</author>
  </authors>
  <commentList>
    <comment ref="C1" authorId="0">
      <text>
        <r>
          <rPr>
            <sz val="10"/>
            <rFont val="Arial"/>
            <family val="0"/>
            <charset val="1"/>
          </rPr>
          <t xml:space="preserve">glr2eh:
</t>
        </r>
        <r>
          <rPr>
            <sz val="9"/>
            <color rgb="FF000000"/>
            <rFont val="Segoe UI"/>
            <family val="2"/>
            <charset val="1"/>
          </rPr>
          <t xml:space="preserve">Wertigkeiten Innovationsprinzipien</t>
        </r>
      </text>
    </comment>
    <comment ref="D1" authorId="0">
      <text>
        <r>
          <rPr>
            <sz val="10"/>
            <rFont val="Arial"/>
            <family val="0"/>
            <charset val="1"/>
          </rPr>
          <t xml:space="preserve">glr2eh:
</t>
        </r>
        <r>
          <rPr>
            <sz val="9"/>
            <color rgb="FF000000"/>
            <rFont val="Segoe UI"/>
            <family val="2"/>
            <charset val="1"/>
          </rPr>
          <t xml:space="preserve">Wertigkeiten Feld</t>
        </r>
      </text>
    </comment>
  </commentList>
</comments>
</file>

<file path=xl/sharedStrings.xml><?xml version="1.0" encoding="utf-8"?>
<sst xmlns="http://schemas.openxmlformats.org/spreadsheetml/2006/main" count="12507" uniqueCount="4926">
  <si>
    <t xml:space="preserve">Physikalische Parameter</t>
  </si>
  <si>
    <t xml:space="preserve">Leistungsfähigkeit</t>
  </si>
  <si>
    <t xml:space="preserve">Effizienz</t>
  </si>
  <si>
    <t xml:space="preserve">Nicht-Funktional ('ility)</t>
  </si>
  <si>
    <t xml:space="preserve">Fertigung/Kosten</t>
  </si>
  <si>
    <t xml:space="preserve">Messung</t>
  </si>
  <si>
    <t xml:space="preserve">Gewicht eines bewegten Objekts</t>
  </si>
  <si>
    <t xml:space="preserve">Gewicht eines stationären Objekts</t>
  </si>
  <si>
    <t xml:space="preserve">Länge/Winkel d. bewegten Objekts</t>
  </si>
  <si>
    <t xml:space="preserve">Länge/Winkel d. stationären Objekts</t>
  </si>
  <si>
    <t xml:space="preserve">Fläche eines bewegten Objekts</t>
  </si>
  <si>
    <t xml:space="preserve">Fläche eines stationären Objekts</t>
  </si>
  <si>
    <t xml:space="preserve">Volumen eines bewegten Objekts</t>
  </si>
  <si>
    <t xml:space="preserve">Volumen eines stationären Objekts</t>
  </si>
  <si>
    <t xml:space="preserve">Form</t>
  </si>
  <si>
    <t xml:space="preserve">Materialmenge</t>
  </si>
  <si>
    <t xml:space="preserve">Informations-
menge</t>
  </si>
  <si>
    <t xml:space="preserve">Wirkungsdauer d. bewegten Objekts</t>
  </si>
  <si>
    <t xml:space="preserve">Wirkungsdauer d. stationären Objekts</t>
  </si>
  <si>
    <t xml:space="preserve">Geschwindigkeit</t>
  </si>
  <si>
    <t xml:space="preserve">Kraft / Moment</t>
  </si>
  <si>
    <t xml:space="preserve">Energieverbrauch d. bewegten Objektes</t>
  </si>
  <si>
    <t xml:space="preserve">Energieverbrauch d. stationären Objektes</t>
  </si>
  <si>
    <t xml:space="preserve">Leistung</t>
  </si>
  <si>
    <t xml:space="preserve">Spannung / Druck</t>
  </si>
  <si>
    <t xml:space="preserve">Festigkeit</t>
  </si>
  <si>
    <t xml:space="preserve">Stabilität</t>
  </si>
  <si>
    <t xml:space="preserve">Temperatur</t>
  </si>
  <si>
    <t xml:space="preserve">Beleuchtungs-Intensität</t>
  </si>
  <si>
    <t xml:space="preserve">Effizienz der Funktion</t>
  </si>
  <si>
    <t xml:space="preserve">Materialverluste</t>
  </si>
  <si>
    <t xml:space="preserve">Zeitverluste</t>
  </si>
  <si>
    <t xml:space="preserve">Energieverluste</t>
  </si>
  <si>
    <t xml:space="preserve">Informations-verluste</t>
  </si>
  <si>
    <t xml:space="preserve">Lärm/ Störung / Rauschen</t>
  </si>
  <si>
    <t xml:space="preserve">Schädliche Emissionen</t>
  </si>
  <si>
    <t xml:space="preserve">Vom Objekt erz. schädliche Faktoren</t>
  </si>
  <si>
    <t xml:space="preserve">Adaptionsfähigkeit / Vielseitigkeit</t>
  </si>
  <si>
    <t xml:space="preserve">Kompatibilität / Verbindbarkeit</t>
  </si>
  <si>
    <t xml:space="preserve">Bedienungs-freundlichkeit / Erlernbarkeit</t>
  </si>
  <si>
    <t xml:space="preserve">Zuverlässigkeit Robustheit</t>
  </si>
  <si>
    <t xml:space="preserve">Instandsetzungs-freundlichkeit</t>
  </si>
  <si>
    <t xml:space="preserve">Sicherheit</t>
  </si>
  <si>
    <t xml:space="preserve">Gefahrlosigkeit Verletzbarkeit</t>
  </si>
  <si>
    <t xml:space="preserve">Ästhetik / Aussehen</t>
  </si>
  <si>
    <t xml:space="preserve">Andere schädliche auf das System wirkende Effekte</t>
  </si>
  <si>
    <t xml:space="preserve">Fertigungs-freundlichkeit</t>
  </si>
  <si>
    <t xml:space="preserve">Fertigungs-genauigkeit / Gleichheit</t>
  </si>
  <si>
    <t xml:space="preserve">Automatisierung</t>
  </si>
  <si>
    <t xml:space="preserve">Produktivität</t>
  </si>
  <si>
    <t xml:space="preserve">Komplexität des Systems</t>
  </si>
  <si>
    <t xml:space="preserve">Komplexität der Kontrolle</t>
  </si>
  <si>
    <t xml:space="preserve">Detektierbarkeit / Messbarkeit</t>
  </si>
  <si>
    <t xml:space="preserve">Messgenauigkeit</t>
  </si>
  <si>
    <t xml:space="preserve">3,19,35,40,1,26,2</t>
  </si>
  <si>
    <t xml:space="preserve">17,15,8,35,34,28,29,30,40</t>
  </si>
  <si>
    <t xml:space="preserve">15,17,28,12,35,29,30</t>
  </si>
  <si>
    <t xml:space="preserve">28,17,29,35,1,31,4</t>
  </si>
  <si>
    <t xml:space="preserve">17,28,1,29,35,15,31,4</t>
  </si>
  <si>
    <t xml:space="preserve">28,29,7,40,35,31,2</t>
  </si>
  <si>
    <t xml:space="preserve">40,35,2,4,7</t>
  </si>
  <si>
    <t xml:space="preserve">3,35,14,17,4,7</t>
  </si>
  <si>
    <t xml:space="preserve">31,28,26,7,2,3,5,40</t>
  </si>
  <si>
    <t xml:space="preserve">2,5,7,4,34,10</t>
  </si>
  <si>
    <t xml:space="preserve">10,5,34,16,2</t>
  </si>
  <si>
    <t xml:space="preserve">10,5,28,35,16,2</t>
  </si>
  <si>
    <t xml:space="preserve">15,2,25,19,38,18</t>
  </si>
  <si>
    <t xml:space="preserve">10,30,35,28,8,37,18</t>
  </si>
  <si>
    <t xml:space="preserve">35,10,19,3,34,31,12</t>
  </si>
  <si>
    <t xml:space="preserve">35,15,1,28,7,14,34,39</t>
  </si>
  <si>
    <t xml:space="preserve">19,30,36,31,12,18,14,25,1</t>
  </si>
  <si>
    <t xml:space="preserve">10,40,30,36,37,31,4,3,12</t>
  </si>
  <si>
    <t xml:space="preserve">28,31,40,35,10,30,18,14,4</t>
  </si>
  <si>
    <t xml:space="preserve">35,1,30,39,29,21,7,19,12</t>
  </si>
  <si>
    <t xml:space="preserve">2,40,6,31,36,29,4,38,32</t>
  </si>
  <si>
    <t xml:space="preserve">1,35,32,38,13,19,23</t>
  </si>
  <si>
    <t xml:space="preserve">1,2,28,3,35,25</t>
  </si>
  <si>
    <t xml:space="preserve">5,35,31,24,3,4,7,40</t>
  </si>
  <si>
    <t xml:space="preserve">10,19,28,20,35,1,2,3,16</t>
  </si>
  <si>
    <t xml:space="preserve">19,6,3,10,2,13,34,12</t>
  </si>
  <si>
    <t xml:space="preserve">10,24,11,35,25</t>
  </si>
  <si>
    <t xml:space="preserve">35,2,25,13,3,5,39,14</t>
  </si>
  <si>
    <t xml:space="preserve">2,30,39,25,10,21,31,35,27</t>
  </si>
  <si>
    <t xml:space="preserve">2,35,10,39,3,31,22,24,27</t>
  </si>
  <si>
    <t xml:space="preserve">29,28,15,2,12,5,7,34</t>
  </si>
  <si>
    <t xml:space="preserve">10,15,13,5,24,25,26</t>
  </si>
  <si>
    <t xml:space="preserve">2,15,3,11,25,23,35,24,1</t>
  </si>
  <si>
    <t xml:space="preserve">3,17,1,35,27,14,11,4,31</t>
  </si>
  <si>
    <t xml:space="preserve">2,28,17,27,3,30,33,11,14</t>
  </si>
  <si>
    <t xml:space="preserve">2,5,6,23,24,28</t>
  </si>
  <si>
    <t xml:space="preserve">26,10,17,13,35,2,5,28</t>
  </si>
  <si>
    <t xml:space="preserve">3,1,31,14,40,30</t>
  </si>
  <si>
    <t xml:space="preserve">5,24,27,21,2,25,18,31,35</t>
  </si>
  <si>
    <t xml:space="preserve">1,5,36,25,16,14,27,24,3</t>
  </si>
  <si>
    <t xml:space="preserve">28,5,26,35,25,1,18,24,3</t>
  </si>
  <si>
    <t xml:space="preserve">35,26,2,10,25,24,1,19,18</t>
  </si>
  <si>
    <t xml:space="preserve">35,24,10,28,12,1,37,3,16</t>
  </si>
  <si>
    <t xml:space="preserve">26,35,40,30,36,2,10,25,28</t>
  </si>
  <si>
    <t xml:space="preserve">10,12,2,19,15,5</t>
  </si>
  <si>
    <t xml:space="preserve">26,28,32,5,20,36,32,37</t>
  </si>
  <si>
    <t xml:space="preserve">28,26,35,10,2,37</t>
  </si>
  <si>
    <t xml:space="preserve">35,3,40,2,31,1,26</t>
  </si>
  <si>
    <t xml:space="preserve">17,4,30,35,3,5</t>
  </si>
  <si>
    <t xml:space="preserve">17,35,9,31,13,3,5</t>
  </si>
  <si>
    <t xml:space="preserve">17,3,30,7,35,4,14</t>
  </si>
  <si>
    <t xml:space="preserve">17,14,3,35,30,4,9,40,13</t>
  </si>
  <si>
    <t xml:space="preserve">14,13,3,40,35,5,30</t>
  </si>
  <si>
    <t xml:space="preserve">31,35,7,3,13,30</t>
  </si>
  <si>
    <t xml:space="preserve">13,7,3,30,35,31,29,10</t>
  </si>
  <si>
    <t xml:space="preserve">35,31,5,18,25,2</t>
  </si>
  <si>
    <t xml:space="preserve">28,13,7,26,2,17</t>
  </si>
  <si>
    <t xml:space="preserve">3,35,10,12,4,17,14</t>
  </si>
  <si>
    <t xml:space="preserve">40,35,31,6,19,27,2</t>
  </si>
  <si>
    <t xml:space="preserve">3,35,17,3,36,2</t>
  </si>
  <si>
    <t xml:space="preserve">35,9,8,3,40,13</t>
  </si>
  <si>
    <t xml:space="preserve">3,17,14,19,18,30</t>
  </si>
  <si>
    <t xml:space="preserve">12,13,1,28,19,3,35</t>
  </si>
  <si>
    <t xml:space="preserve">13,35,19,3,18,15</t>
  </si>
  <si>
    <t xml:space="preserve">35,8,3,13,40,17,4,12,5</t>
  </si>
  <si>
    <t xml:space="preserve">35,31,8,40,17,4,29,13,5</t>
  </si>
  <si>
    <t xml:space="preserve">15,5,17,30,4,31,12</t>
  </si>
  <si>
    <t xml:space="preserve">35,3,36,19,32,30,25</t>
  </si>
  <si>
    <t xml:space="preserve">19,35,24,32,31,7</t>
  </si>
  <si>
    <t xml:space="preserve">35,31,7,3,13,40</t>
  </si>
  <si>
    <t xml:space="preserve">13,14,5,3,17,12</t>
  </si>
  <si>
    <t xml:space="preserve">10,35,19,25,28,26,20</t>
  </si>
  <si>
    <t xml:space="preserve">28,35,7,31,13,32,39</t>
  </si>
  <si>
    <t xml:space="preserve">10,15,35,3,32,7,26</t>
  </si>
  <si>
    <t xml:space="preserve">14,35,31,1,9</t>
  </si>
  <si>
    <t xml:space="preserve">30,40,13,19,21,24</t>
  </si>
  <si>
    <t xml:space="preserve">40,3,39,2,31,28,8,15</t>
  </si>
  <si>
    <t xml:space="preserve">35,3,15,19,1,2,28,40</t>
  </si>
  <si>
    <t xml:space="preserve">2,13,24,3,17,39</t>
  </si>
  <si>
    <t xml:space="preserve">13,1,32,14,4,26,6</t>
  </si>
  <si>
    <t xml:space="preserve">10,2,14,40,28,29,25</t>
  </si>
  <si>
    <t xml:space="preserve">2,17,13,27,11</t>
  </si>
  <si>
    <t xml:space="preserve">28,2,17,30,4,13,14</t>
  </si>
  <si>
    <t xml:space="preserve">40,9,31,3,7,14</t>
  </si>
  <si>
    <t xml:space="preserve">7,31,3,4,32,1</t>
  </si>
  <si>
    <t xml:space="preserve">17,37,31,3,19,9,4,34</t>
  </si>
  <si>
    <t xml:space="preserve">35,8,9,1,10,28,3,40</t>
  </si>
  <si>
    <t xml:space="preserve">10,35,17,29,7,16,25</t>
  </si>
  <si>
    <t xml:space="preserve">2,26,30,12,23,13</t>
  </si>
  <si>
    <t xml:space="preserve">28,35,15,4,29,1,3,19,25</t>
  </si>
  <si>
    <t xml:space="preserve">13,4,17,14,26,10,1,9</t>
  </si>
  <si>
    <t xml:space="preserve">17,25,13,19,10,3,2</t>
  </si>
  <si>
    <t xml:space="preserve">17,25,37,32,28,15,18</t>
  </si>
  <si>
    <t xml:space="preserve">26,28,18,37,4,3</t>
  </si>
  <si>
    <t xml:space="preserve">Länge/Winkel eines bewegten Objekts</t>
  </si>
  <si>
    <t xml:space="preserve">31,4,17,15,34,8,29,30,1</t>
  </si>
  <si>
    <t xml:space="preserve">1,2,17,15,30,4,5</t>
  </si>
  <si>
    <t xml:space="preserve">1,17,15,24,13,30</t>
  </si>
  <si>
    <t xml:space="preserve">15,17,4,14,1,3,29,30,35</t>
  </si>
  <si>
    <t xml:space="preserve">17,3,7,15,3,1,4,29</t>
  </si>
  <si>
    <t xml:space="preserve">17,14,7,4,3,35,13,1,30,2</t>
  </si>
  <si>
    <t xml:space="preserve">17,31,3,19,14,4,30</t>
  </si>
  <si>
    <t xml:space="preserve">1,35,29,3,30,10,17,14,12</t>
  </si>
  <si>
    <t xml:space="preserve">35,3,4,1,40,30,31</t>
  </si>
  <si>
    <t xml:space="preserve">28,1,10,32,17,13,15</t>
  </si>
  <si>
    <t xml:space="preserve">19,17,10,1,2,3,28</t>
  </si>
  <si>
    <t xml:space="preserve">10,35,1,3,19,2</t>
  </si>
  <si>
    <t xml:space="preserve">14,1,13,4,17,12,4,3</t>
  </si>
  <si>
    <t xml:space="preserve">17,4,14,10,7,12,2</t>
  </si>
  <si>
    <t xml:space="preserve">1,35,17,14,3,25,8,24,22</t>
  </si>
  <si>
    <t xml:space="preserve">35,17,14,3,1,24,15</t>
  </si>
  <si>
    <t xml:space="preserve">1,35,14,3,38,29,19,4</t>
  </si>
  <si>
    <t xml:space="preserve">1,35,3,14,12,8,17,29</t>
  </si>
  <si>
    <t xml:space="preserve">35,29,40,8,34,3,31,15,30</t>
  </si>
  <si>
    <t xml:space="preserve">1,15,3,14,17,34,12,35,40</t>
  </si>
  <si>
    <t xml:space="preserve">10,15,35,19,3,36</t>
  </si>
  <si>
    <t xml:space="preserve">19,1,32,5,24</t>
  </si>
  <si>
    <t xml:space="preserve">17,35,19,3,4,1,13,28</t>
  </si>
  <si>
    <t xml:space="preserve">1,4,35,29,28,3,10,23</t>
  </si>
  <si>
    <t xml:space="preserve">15,19,2,10,29,4,3</t>
  </si>
  <si>
    <t xml:space="preserve">2,35,14,1,7,3,39,19</t>
  </si>
  <si>
    <t xml:space="preserve">1,24,25,2,3,32</t>
  </si>
  <si>
    <t xml:space="preserve">17,3,13,1,19,28,35</t>
  </si>
  <si>
    <t xml:space="preserve">10,35,38,7,19,24,30</t>
  </si>
  <si>
    <t xml:space="preserve">3,17,15,2,19,25,33,39</t>
  </si>
  <si>
    <t xml:space="preserve">15,1,14,17,25,16,13,3,19</t>
  </si>
  <si>
    <t xml:space="preserve">23,28,17,3,10,1</t>
  </si>
  <si>
    <t xml:space="preserve">15,29,35,10,1,4,7,13</t>
  </si>
  <si>
    <t xml:space="preserve">35,10,14,17,40,3,29,2,1</t>
  </si>
  <si>
    <t xml:space="preserve">1,28,10,17,27,2,13,25</t>
  </si>
  <si>
    <t xml:space="preserve">1,28,35,19,5,2</t>
  </si>
  <si>
    <t xml:space="preserve">3,14,35,17,29,28,19,30</t>
  </si>
  <si>
    <t xml:space="preserve">17,14,3,32,4,5</t>
  </si>
  <si>
    <t xml:space="preserve">1,17,15,25,24,10,35,28,19</t>
  </si>
  <si>
    <t xml:space="preserve">1,24,4,10,29,37,25</t>
  </si>
  <si>
    <t xml:space="preserve">10,28,1,25,37,29,35,2</t>
  </si>
  <si>
    <t xml:space="preserve">17,3,24,26,5,16,25,2</t>
  </si>
  <si>
    <t xml:space="preserve">17,4,14,28,1,29,25,3,5</t>
  </si>
  <si>
    <t xml:space="preserve">1,19,24,26,2,5,28,29</t>
  </si>
  <si>
    <t xml:space="preserve">35,1,3,28,25,13,5,2</t>
  </si>
  <si>
    <t xml:space="preserve">26,35,1,24,32,40</t>
  </si>
  <si>
    <t xml:space="preserve">10,32,1,37,28,39</t>
  </si>
  <si>
    <t xml:space="preserve">Länge/Winkel eines stationären Objekts</t>
  </si>
  <si>
    <t xml:space="preserve">35,30,31,8,28,29,40,1</t>
  </si>
  <si>
    <t xml:space="preserve">35,31,40,2,28,29,4,3</t>
  </si>
  <si>
    <t xml:space="preserve">3,1,4,19,17,35</t>
  </si>
  <si>
    <t xml:space="preserve">3,4,19,17,35,1</t>
  </si>
  <si>
    <t xml:space="preserve">17,40,35,10,31,14,4,7</t>
  </si>
  <si>
    <t xml:space="preserve">35,30,14,7,15,17</t>
  </si>
  <si>
    <t xml:space="preserve">14,35,17,2,4,7,3</t>
  </si>
  <si>
    <t xml:space="preserve">13,14,15,7,17,3,30</t>
  </si>
  <si>
    <t xml:space="preserve">4,3,31,25,17,14</t>
  </si>
  <si>
    <t xml:space="preserve">7,17,2,22,28,13</t>
  </si>
  <si>
    <t xml:space="preserve">35,3,29,2,31,7,19</t>
  </si>
  <si>
    <t xml:space="preserve">35,10,1,3,2,25,4,5</t>
  </si>
  <si>
    <t xml:space="preserve">3,14,4,13,18,31,9</t>
  </si>
  <si>
    <t xml:space="preserve">10,17,35,3,28,4,12</t>
  </si>
  <si>
    <t xml:space="preserve">35,19,24,28,21,30,13</t>
  </si>
  <si>
    <t xml:space="preserve">35,3,30,31,12,14,4,13</t>
  </si>
  <si>
    <t xml:space="preserve">17,19,35,12,13,8,3,31</t>
  </si>
  <si>
    <t xml:space="preserve">35,17,3,14,5,7,30</t>
  </si>
  <si>
    <t xml:space="preserve">14,40,3,35,15,17,30</t>
  </si>
  <si>
    <t xml:space="preserve">35,3,15,17,4,14,37,39</t>
  </si>
  <si>
    <t xml:space="preserve">35,36,10,24,32,3,15,17</t>
  </si>
  <si>
    <t xml:space="preserve">35,24,28,3,25,1,14</t>
  </si>
  <si>
    <t xml:space="preserve">3,35,28,30,15,24,19</t>
  </si>
  <si>
    <t xml:space="preserve">28,24,35,12,10,3,4,17</t>
  </si>
  <si>
    <t xml:space="preserve">14,5,30,28,29,10,17,37,18</t>
  </si>
  <si>
    <t xml:space="preserve">1,17,28,3,6,19,14,4</t>
  </si>
  <si>
    <t xml:space="preserve">28,24,13,3,26,14,15,17</t>
  </si>
  <si>
    <t xml:space="preserve">14,1,3,35,17,31</t>
  </si>
  <si>
    <t xml:space="preserve">1,3,21,18,13,14,2,4</t>
  </si>
  <si>
    <t xml:space="preserve">35,17,11,5,18,12,31,2</t>
  </si>
  <si>
    <t xml:space="preserve">1,19,35,15,17,31,24,14</t>
  </si>
  <si>
    <t xml:space="preserve">1,7,17,3,31,35</t>
  </si>
  <si>
    <t xml:space="preserve">10,25,26,2,12,37</t>
  </si>
  <si>
    <t xml:space="preserve">35,17,31,29,28,12,40</t>
  </si>
  <si>
    <t xml:space="preserve">3,10,17,1,37,35,16</t>
  </si>
  <si>
    <t xml:space="preserve">17,7,3,28,13,24</t>
  </si>
  <si>
    <t xml:space="preserve">17,14,30,35,31,39,7,24</t>
  </si>
  <si>
    <t xml:space="preserve">3,17,32,7,35,22</t>
  </si>
  <si>
    <t xml:space="preserve">1,18,9,16,35,40,39</t>
  </si>
  <si>
    <t xml:space="preserve">17,3,15,13,4,31,10</t>
  </si>
  <si>
    <t xml:space="preserve">30,32,10,3,2,29,28,24</t>
  </si>
  <si>
    <t xml:space="preserve">10,24,15,13,35,37,16,17</t>
  </si>
  <si>
    <t xml:space="preserve">3,14,7,30,37,35,16</t>
  </si>
  <si>
    <t xml:space="preserve">28,2,5,26,35,13</t>
  </si>
  <si>
    <t xml:space="preserve">25,10,37,24,28,3</t>
  </si>
  <si>
    <t xml:space="preserve">28,32,26,3,25,2</t>
  </si>
  <si>
    <t xml:space="preserve">28,10,26,32,3,30,24</t>
  </si>
  <si>
    <t xml:space="preserve">31,17,3,4,1,18,40,14,30</t>
  </si>
  <si>
    <t xml:space="preserve">17,15,3,31,2,4,29,1</t>
  </si>
  <si>
    <t xml:space="preserve">14,15,4,18,1,17,30,13</t>
  </si>
  <si>
    <t xml:space="preserve">14,17,15,4,13</t>
  </si>
  <si>
    <t xml:space="preserve">17,1,4,3,24,5,2</t>
  </si>
  <si>
    <t xml:space="preserve">14,17,7,4,13,1,31,3,18</t>
  </si>
  <si>
    <t xml:space="preserve">14,17,7,13,4,31,3,1,18</t>
  </si>
  <si>
    <t xml:space="preserve">35,4,14,17,15,34,29,13,1</t>
  </si>
  <si>
    <t xml:space="preserve">31,30,3,13,6,29,1,5,19</t>
  </si>
  <si>
    <t xml:space="preserve">17,15,14,32,1,3</t>
  </si>
  <si>
    <t xml:space="preserve">3,19,18,1,6,5,2</t>
  </si>
  <si>
    <t xml:space="preserve">1,3,19,2,6,5</t>
  </si>
  <si>
    <t xml:space="preserve">14,3,34,29,28,30,13</t>
  </si>
  <si>
    <t xml:space="preserve">3,2,35,19,30,17,1</t>
  </si>
  <si>
    <t xml:space="preserve">19,3,17,1,36,4,32,5,38</t>
  </si>
  <si>
    <t xml:space="preserve">3,17,19,36,5,1,38</t>
  </si>
  <si>
    <t xml:space="preserve">19,40,18,1,30,10,32</t>
  </si>
  <si>
    <t xml:space="preserve">15,30,10,40,28,36,1,2,13</t>
  </si>
  <si>
    <t xml:space="preserve">3,15,40,14,5,1,4,35,11</t>
  </si>
  <si>
    <t xml:space="preserve">2,11,13,35,1,39,24,40,26</t>
  </si>
  <si>
    <t xml:space="preserve">3,15,19,36,1,24,32,31,16</t>
  </si>
  <si>
    <t xml:space="preserve">19,13,15,32,30,1,35</t>
  </si>
  <si>
    <t xml:space="preserve">3,17,1,15,19,3,24</t>
  </si>
  <si>
    <t xml:space="preserve">2,17,35,3,10,24,28,36,34</t>
  </si>
  <si>
    <t xml:space="preserve">2,26,35,39,4,24</t>
  </si>
  <si>
    <t xml:space="preserve">17,15,30,2,1,26,24,28,19</t>
  </si>
  <si>
    <t xml:space="preserve">3,2,17,24,26,30,13,14</t>
  </si>
  <si>
    <t xml:space="preserve">3,35,1,14,25,31,9</t>
  </si>
  <si>
    <t xml:space="preserve">2,19,31,25,18,34,35,36,38</t>
  </si>
  <si>
    <t xml:space="preserve">17,2,18,15,39,31,3</t>
  </si>
  <si>
    <t xml:space="preserve">15,3,35,1,30,40,2,25</t>
  </si>
  <si>
    <t xml:space="preserve">28,3,17,10,23,15,4,2</t>
  </si>
  <si>
    <t xml:space="preserve">15,17,25,13,1,16,19</t>
  </si>
  <si>
    <t xml:space="preserve">17,3,28,35,29,5,2,9</t>
  </si>
  <si>
    <t xml:space="preserve">35,15,10,25,1,28,2</t>
  </si>
  <si>
    <t xml:space="preserve">1,28,10,35,2,19</t>
  </si>
  <si>
    <t xml:space="preserve">3,35,14,29,19,1,5</t>
  </si>
  <si>
    <t xml:space="preserve">17,3,14,15,13,4,5,7,1</t>
  </si>
  <si>
    <t xml:space="preserve">28,1,3,2,33,13,22,27,35</t>
  </si>
  <si>
    <t xml:space="preserve">3,1,13,24,26,35,16,20</t>
  </si>
  <si>
    <t xml:space="preserve">35,2,13,25,14,32,1,5</t>
  </si>
  <si>
    <t xml:space="preserve">14,28,1,5,30,23,3,2</t>
  </si>
  <si>
    <t xml:space="preserve">10,2,26,17,15,19,34,38</t>
  </si>
  <si>
    <t xml:space="preserve">14,17,5,7,35,1,29,16,10</t>
  </si>
  <si>
    <t xml:space="preserve">35,3,5,25,1,28</t>
  </si>
  <si>
    <t xml:space="preserve">2,26,19,3,32,36,18,31</t>
  </si>
  <si>
    <t xml:space="preserve">3,32,26,25,1,10,37</t>
  </si>
  <si>
    <t xml:space="preserve">14,31,17,19,4,13,3,12</t>
  </si>
  <si>
    <t xml:space="preserve">35,14,31,30,17,4,18</t>
  </si>
  <si>
    <t xml:space="preserve">17,19,3,13,1,14</t>
  </si>
  <si>
    <t xml:space="preserve">17,14,3,4,7,9,24,13,26</t>
  </si>
  <si>
    <t xml:space="preserve">4,31,7,19,15,14,3,13</t>
  </si>
  <si>
    <t xml:space="preserve">17,18,14,7,30,13,26</t>
  </si>
  <si>
    <t xml:space="preserve">14,28,26,13,4,35,17</t>
  </si>
  <si>
    <t xml:space="preserve">17,5,4,7,28,26,14</t>
  </si>
  <si>
    <t xml:space="preserve">35,26,1,4,17,18,40</t>
  </si>
  <si>
    <t xml:space="preserve">26,17,2,13,30,35,7,24</t>
  </si>
  <si>
    <t xml:space="preserve">13,19,37,10,35,14,5</t>
  </si>
  <si>
    <t xml:space="preserve">10,2,30,25,13,37,26,5</t>
  </si>
  <si>
    <t xml:space="preserve">26,28,17,13,14,5,2,35,3</t>
  </si>
  <si>
    <t xml:space="preserve">14,1,35,3,18,17,36</t>
  </si>
  <si>
    <t xml:space="preserve">35,19,13,28,1</t>
  </si>
  <si>
    <t xml:space="preserve">35,40,17,13,2,28</t>
  </si>
  <si>
    <t xml:space="preserve">35,17,13,19,28,32,37,2</t>
  </si>
  <si>
    <t xml:space="preserve">15,35,9,17,14,3,40,37,36</t>
  </si>
  <si>
    <t xml:space="preserve">40,2,17,35,3,14,8,36</t>
  </si>
  <si>
    <t xml:space="preserve">35,24,29,10,14,38,2</t>
  </si>
  <si>
    <t xml:space="preserve">35,24,39,32,3,36,4</t>
  </si>
  <si>
    <t xml:space="preserve">1,40,24,35,17,3,32</t>
  </si>
  <si>
    <t xml:space="preserve">28,3,13,12,1,14,4,15,19</t>
  </si>
  <si>
    <t xml:space="preserve">17,14,12,10,18,39,13,34</t>
  </si>
  <si>
    <t xml:space="preserve">14,1,10,35,17,18,3,25</t>
  </si>
  <si>
    <t xml:space="preserve">17,12,30,35,7,28,26</t>
  </si>
  <si>
    <t xml:space="preserve">2,16,7,17,32,3,24</t>
  </si>
  <si>
    <t xml:space="preserve">14,28,1,4,23,17,31</t>
  </si>
  <si>
    <t xml:space="preserve">35,31,17,1,7,18</t>
  </si>
  <si>
    <t xml:space="preserve">40,1,7,24,15,12,9,18,28</t>
  </si>
  <si>
    <t xml:space="preserve">15,4,28,29,32,35,37,3</t>
  </si>
  <si>
    <t xml:space="preserve">24,2,17,5,15,35</t>
  </si>
  <si>
    <t xml:space="preserve">10,4,24,25,26,16</t>
  </si>
  <si>
    <t xml:space="preserve">35,40,4,5,25,28,7,32</t>
  </si>
  <si>
    <t xml:space="preserve">1,16,32,17,13</t>
  </si>
  <si>
    <t xml:space="preserve">17,35,28,2,24</t>
  </si>
  <si>
    <t xml:space="preserve">35,7,14,3,32,28</t>
  </si>
  <si>
    <t xml:space="preserve">14,3,32,26,4,1</t>
  </si>
  <si>
    <t xml:space="preserve">35,39,24,1,2,33,37,12,3</t>
  </si>
  <si>
    <t xml:space="preserve">16,17,40,13,10,5,36,32</t>
  </si>
  <si>
    <t xml:space="preserve">35,2,29,36,18,32,24,25</t>
  </si>
  <si>
    <t xml:space="preserve">25,10,3,28,13,15</t>
  </si>
  <si>
    <t xml:space="preserve">10,17,7,15,25,29</t>
  </si>
  <si>
    <t xml:space="preserve">1,26,28,18,36,13,17</t>
  </si>
  <si>
    <t xml:space="preserve">25,10,3,19,15,13</t>
  </si>
  <si>
    <t xml:space="preserve">32,35,18,2,30,24,28</t>
  </si>
  <si>
    <t xml:space="preserve">28,3,32,26,37,18</t>
  </si>
  <si>
    <t xml:space="preserve">31,35,40,2,30,29,26,19</t>
  </si>
  <si>
    <t xml:space="preserve">31,40,35,26,2,13,30</t>
  </si>
  <si>
    <t xml:space="preserve">1,7,4,35,3,29,15,13,30</t>
  </si>
  <si>
    <t xml:space="preserve">7,15,4,3,1,35,19,10</t>
  </si>
  <si>
    <t xml:space="preserve">17,4,7,1,31,5,24,36,35</t>
  </si>
  <si>
    <t xml:space="preserve">17,14,4,3,31,7,35</t>
  </si>
  <si>
    <t xml:space="preserve">35,14,28,2,3,24,13</t>
  </si>
  <si>
    <t xml:space="preserve">15,1,14,19,29,14,38,25</t>
  </si>
  <si>
    <t xml:space="preserve">30,31,7,4,29,36</t>
  </si>
  <si>
    <t xml:space="preserve">10,2,28,7,32,3,15,26</t>
  </si>
  <si>
    <t xml:space="preserve">4,36,35,31,6,1,30,28,5</t>
  </si>
  <si>
    <t xml:space="preserve">30,31,1,35,4,28,38,5</t>
  </si>
  <si>
    <t xml:space="preserve">29,4,28,1,35,38,3,13,14</t>
  </si>
  <si>
    <t xml:space="preserve">15,1,35,3,36,4,14,37,19</t>
  </si>
  <si>
    <t xml:space="preserve">35,13,19,38,33,25,10</t>
  </si>
  <si>
    <t xml:space="preserve">35,38,33,19,10,25</t>
  </si>
  <si>
    <t xml:space="preserve">35,19,6,10,13,24,18,31,1</t>
  </si>
  <si>
    <t xml:space="preserve">35,9,3,40,1,3,10,36,37</t>
  </si>
  <si>
    <t xml:space="preserve">14,15,7,4,9,31,30,40,1</t>
  </si>
  <si>
    <t xml:space="preserve">28,10,1,3,39,19,35,33,30</t>
  </si>
  <si>
    <t xml:space="preserve">10,39,18,31,34,1,2,3,24</t>
  </si>
  <si>
    <t xml:space="preserve">35,2,28,25,13,10,30,19</t>
  </si>
  <si>
    <t xml:space="preserve">28,10,13,25,34,2,5,35,1</t>
  </si>
  <si>
    <t xml:space="preserve">35,10,34,2,36,39,31,5,13</t>
  </si>
  <si>
    <t xml:space="preserve">10,19,2,6,34,38,30,31</t>
  </si>
  <si>
    <t xml:space="preserve">28,15,4,38,7,3,19,13,9</t>
  </si>
  <si>
    <t xml:space="preserve">28,3,2,10,22,35,26,32</t>
  </si>
  <si>
    <t xml:space="preserve">31,1,3,23,13,14,4,1,35</t>
  </si>
  <si>
    <t xml:space="preserve">35,30,24,1,31,38</t>
  </si>
  <si>
    <t xml:space="preserve">2,30,40,36,25,22,31</t>
  </si>
  <si>
    <t xml:space="preserve">15,29,30,35,1,13,4,19</t>
  </si>
  <si>
    <t xml:space="preserve">13,15,6,10,33,1,3,28</t>
  </si>
  <si>
    <t xml:space="preserve">15,3,26,25,31,13,30,12,1</t>
  </si>
  <si>
    <t xml:space="preserve">1,28,3,14,40,11,35,25,33</t>
  </si>
  <si>
    <t xml:space="preserve">10,3,30,25,29,28,35</t>
  </si>
  <si>
    <t xml:space="preserve">28,10,15,1,3,5,26</t>
  </si>
  <si>
    <t xml:space="preserve">1,35,31,39,28,24,13,30</t>
  </si>
  <si>
    <t xml:space="preserve">3,32,15,4,14,24,5,13,9</t>
  </si>
  <si>
    <t xml:space="preserve">35,9,21,22,27,2,8,31,34</t>
  </si>
  <si>
    <t xml:space="preserve">1,10,3,24,40,29,34,13</t>
  </si>
  <si>
    <t xml:space="preserve">25,28,3,16,2,30,23,15</t>
  </si>
  <si>
    <t xml:space="preserve">24,3,35,34,16,10,31,30,13</t>
  </si>
  <si>
    <t xml:space="preserve">2,10,35,34,6,13,15,17,20</t>
  </si>
  <si>
    <t xml:space="preserve">1,2,35,26,15,29,5</t>
  </si>
  <si>
    <t xml:space="preserve">28,1,25,10,2,23,5,24</t>
  </si>
  <si>
    <t xml:space="preserve">26,24,5,4,29,35,28</t>
  </si>
  <si>
    <t xml:space="preserve">26,28,24,13,35,5</t>
  </si>
  <si>
    <t xml:space="preserve">35 - Veränderung des Aggregatszustandes</t>
  </si>
  <si>
    <t xml:space="preserve">31,30,40,35,3,2,4,19</t>
  </si>
  <si>
    <t xml:space="preserve">35,40,31,9,14,13,3,4,26</t>
  </si>
  <si>
    <t xml:space="preserve">14,30,15,3,4,35,2,19</t>
  </si>
  <si>
    <t xml:space="preserve">35,2,30,4,14,8,19,28,26</t>
  </si>
  <si>
    <t xml:space="preserve">15,14,4,30,13,3,7,28</t>
  </si>
  <si>
    <t xml:space="preserve">14,3,7,4,30,13,15,26,17</t>
  </si>
  <si>
    <t xml:space="preserve">14,35,3,13,28,2,30,7</t>
  </si>
  <si>
    <t xml:space="preserve">7,35,2,30,31,13</t>
  </si>
  <si>
    <t xml:space="preserve">35,3,31,40,5,13,17</t>
  </si>
  <si>
    <t xml:space="preserve">10,7,24,28,3,26,2</t>
  </si>
  <si>
    <t xml:space="preserve">35,19,1,38,15,34,28</t>
  </si>
  <si>
    <t xml:space="preserve">35,38,15,31,3,1,34</t>
  </si>
  <si>
    <t xml:space="preserve">35,40,2,38,28</t>
  </si>
  <si>
    <t xml:space="preserve">37,9,18,12,2,29,5</t>
  </si>
  <si>
    <t xml:space="preserve">35,19,2,40,31,13</t>
  </si>
  <si>
    <t xml:space="preserve">35,2,40,36,13,12</t>
  </si>
  <si>
    <t xml:space="preserve">35,28,6,30,2,40,24</t>
  </si>
  <si>
    <t xml:space="preserve">35,28,24,40,2,12</t>
  </si>
  <si>
    <t xml:space="preserve">13,14,9,17,40,5,12</t>
  </si>
  <si>
    <t xml:space="preserve">40,35,31,34,30,2,5,28</t>
  </si>
  <si>
    <t xml:space="preserve">3,26,4,35,15,6,19</t>
  </si>
  <si>
    <t xml:space="preserve">35,24,28,5,7,38</t>
  </si>
  <si>
    <t xml:space="preserve">1,7,28,5,2,19,12,37</t>
  </si>
  <si>
    <t xml:space="preserve">35,10,39,40,24,34,1,12</t>
  </si>
  <si>
    <t xml:space="preserve">10,35,18,1,26,32,16</t>
  </si>
  <si>
    <t xml:space="preserve">3,35,40,5,30,7</t>
  </si>
  <si>
    <t xml:space="preserve">7,32,14,24,17,26,3</t>
  </si>
  <si>
    <t xml:space="preserve">31,39,14,3,17,35,4,13</t>
  </si>
  <si>
    <t xml:space="preserve">1,31,35,5,36,2</t>
  </si>
  <si>
    <t xml:space="preserve">12,18,13,35,4,30,2,21,31</t>
  </si>
  <si>
    <t xml:space="preserve">31,28,6,29,2,13,32</t>
  </si>
  <si>
    <t xml:space="preserve">28,24,7,1,17,40</t>
  </si>
  <si>
    <t xml:space="preserve">7,26,24,17,1,15,28</t>
  </si>
  <si>
    <t xml:space="preserve">40,28,35,2,1,13,12,39</t>
  </si>
  <si>
    <t xml:space="preserve">17,1,3,35,27,25,32,13</t>
  </si>
  <si>
    <t xml:space="preserve">28,1,17,6,13,10,7</t>
  </si>
  <si>
    <t xml:space="preserve">5,40,12,7,31,24,39</t>
  </si>
  <si>
    <t xml:space="preserve">14,32,3,22,5,30</t>
  </si>
  <si>
    <t xml:space="preserve">39,24,19,27,22,40,2,4</t>
  </si>
  <si>
    <t xml:space="preserve">35,30,13,10,1,24,37</t>
  </si>
  <si>
    <t xml:space="preserve">25,35,10,3,24,26,1,9,16</t>
  </si>
  <si>
    <t xml:space="preserve">10,1,13,24,25,17</t>
  </si>
  <si>
    <t xml:space="preserve">10,2,35,31,37,30,3,33</t>
  </si>
  <si>
    <t xml:space="preserve">1,5,28,31,3,35</t>
  </si>
  <si>
    <t xml:space="preserve">28,37,2,12,10,32</t>
  </si>
  <si>
    <t xml:space="preserve">17,26,28,32,31,2</t>
  </si>
  <si>
    <t xml:space="preserve">10,32,35,25,2,24,26</t>
  </si>
  <si>
    <t xml:space="preserve">40 Innovationsprinzipen</t>
  </si>
  <si>
    <t xml:space="preserve">29,30,3,10,40,8,31,35</t>
  </si>
  <si>
    <t xml:space="preserve">15,3,10,31,26,35,40</t>
  </si>
  <si>
    <t xml:space="preserve">4,14,29,5,15,13,2,7</t>
  </si>
  <si>
    <t xml:space="preserve">17,14,4,13,5,7,31</t>
  </si>
  <si>
    <t xml:space="preserve">4,17,5,2,14,32</t>
  </si>
  <si>
    <t xml:space="preserve">17,14,5,28,2,32,4</t>
  </si>
  <si>
    <t xml:space="preserve">14,4,15,3,7,29,5,13</t>
  </si>
  <si>
    <t xml:space="preserve">14,4,7,1,2,35,5,32</t>
  </si>
  <si>
    <t xml:space="preserve">3,31,30,36,5,4,22</t>
  </si>
  <si>
    <t xml:space="preserve">17,7,3,32,24,1</t>
  </si>
  <si>
    <t xml:space="preserve">14,28,25,30,26,31,9</t>
  </si>
  <si>
    <t xml:space="preserve">3,30,28,35,13,5,22</t>
  </si>
  <si>
    <t xml:space="preserve">15,35,10,3,18,4,1</t>
  </si>
  <si>
    <t xml:space="preserve">14,17,35,9,2,3,12</t>
  </si>
  <si>
    <t xml:space="preserve">3,14,28,2,24,35,6,34</t>
  </si>
  <si>
    <t xml:space="preserve">35,14,15,31,3,7,24,1</t>
  </si>
  <si>
    <t xml:space="preserve">4,6,2,30,1,3,14,7</t>
  </si>
  <si>
    <t xml:space="preserve">3,14,9,15,2,4,35</t>
  </si>
  <si>
    <t xml:space="preserve">35,7,40,14,9,30,3</t>
  </si>
  <si>
    <t xml:space="preserve">35,40,24,31,1,18,33,4</t>
  </si>
  <si>
    <t xml:space="preserve">31,19,2,32,24,15,1</t>
  </si>
  <si>
    <t xml:space="preserve">35,15,28,32,13,24,1</t>
  </si>
  <si>
    <t xml:space="preserve">2,29,28,5,40,3,31</t>
  </si>
  <si>
    <t xml:space="preserve">29,35,30,3,5,24,2</t>
  </si>
  <si>
    <t xml:space="preserve">10,28,5,34,24,17,26</t>
  </si>
  <si>
    <t xml:space="preserve">4,14,15,3,5,31,25</t>
  </si>
  <si>
    <t xml:space="preserve">17,2,7,15,28,32</t>
  </si>
  <si>
    <t xml:space="preserve">9,4,31,35,14,3,28</t>
  </si>
  <si>
    <t xml:space="preserve">35,1,17,7,19,24</t>
  </si>
  <si>
    <t xml:space="preserve">1,35,30,31,22,13,5,12</t>
  </si>
  <si>
    <t xml:space="preserve">35,1,28,29,15,3,31</t>
  </si>
  <si>
    <t xml:space="preserve">28,3,31,10,24</t>
  </si>
  <si>
    <t xml:space="preserve">32,26,25,37,15,3,29</t>
  </si>
  <si>
    <t xml:space="preserve">40,3,35,10,2,1,16</t>
  </si>
  <si>
    <t xml:space="preserve">17,13,1,2,35,22</t>
  </si>
  <si>
    <t xml:space="preserve">28,5,9,26,17</t>
  </si>
  <si>
    <t xml:space="preserve">40,17,13,31,30,3</t>
  </si>
  <si>
    <t xml:space="preserve">32,3,35,22,9,17</t>
  </si>
  <si>
    <t xml:space="preserve">35,24,2,33,39,40,16</t>
  </si>
  <si>
    <t xml:space="preserve">17,32,1,28,25,35</t>
  </si>
  <si>
    <t xml:space="preserve">30,32,40,22,2,25,35</t>
  </si>
  <si>
    <t xml:space="preserve">1,29,32,2,25,35</t>
  </si>
  <si>
    <t xml:space="preserve">13,17,10,26,12,35,1</t>
  </si>
  <si>
    <t xml:space="preserve">29,2,5,22,28,16</t>
  </si>
  <si>
    <t xml:space="preserve">28,37,24,7,31,2,25</t>
  </si>
  <si>
    <t xml:space="preserve">28,37,13,31,15,24,7</t>
  </si>
  <si>
    <t xml:space="preserve">28,1,37,32,26,3</t>
  </si>
  <si>
    <t xml:space="preserve">Zerlegen, Zerteilen</t>
  </si>
  <si>
    <t xml:space="preserve">35,40,6,18,9,2,31,18</t>
  </si>
  <si>
    <t xml:space="preserve">35,40,18,5,2,8</t>
  </si>
  <si>
    <t xml:space="preserve">29,3,17,35,14,2,18,36,31</t>
  </si>
  <si>
    <t xml:space="preserve">35,31,3,17,14,2,40</t>
  </si>
  <si>
    <t xml:space="preserve">15,14,17,31,35,4,30,29,18</t>
  </si>
  <si>
    <t xml:space="preserve">17,31,4,18,14,2,40</t>
  </si>
  <si>
    <t xml:space="preserve">2,15,28,18,38,24</t>
  </si>
  <si>
    <t xml:space="preserve">35,2,38,25,30,31,1</t>
  </si>
  <si>
    <t xml:space="preserve">35,7,14,3,31,38</t>
  </si>
  <si>
    <t xml:space="preserve">17,37,4,31,13</t>
  </si>
  <si>
    <t xml:space="preserve">35,40,34,10,3,7,18,19</t>
  </si>
  <si>
    <t xml:space="preserve">35,30,31,3,12,2</t>
  </si>
  <si>
    <t xml:space="preserve">28,35,29,24,34,3,38</t>
  </si>
  <si>
    <t xml:space="preserve">35,14,40,3,12,13,5</t>
  </si>
  <si>
    <t xml:space="preserve">19,3,34,35,16,13,2,18</t>
  </si>
  <si>
    <t xml:space="preserve">35,18,3,2,13,31</t>
  </si>
  <si>
    <t xml:space="preserve">35,19,18,3,12,5,2</t>
  </si>
  <si>
    <t xml:space="preserve">40,9,35,14,17,3,13,4,36</t>
  </si>
  <si>
    <t xml:space="preserve">14,17,9,35,40,3,12,13</t>
  </si>
  <si>
    <t xml:space="preserve">35,24,9,40,15,17,2</t>
  </si>
  <si>
    <t xml:space="preserve">35,31,1,17,3,14,39</t>
  </si>
  <si>
    <t xml:space="preserve">35,28,30,3,31,17</t>
  </si>
  <si>
    <t xml:space="preserve">3,30,1,35,38,24,18</t>
  </si>
  <si>
    <t xml:space="preserve">24,4,10,34,3,12,6,17</t>
  </si>
  <si>
    <t xml:space="preserve">3,25,19,1,16,38,18</t>
  </si>
  <si>
    <t xml:space="preserve">35,7,18,19,24,38</t>
  </si>
  <si>
    <t xml:space="preserve">15,28,35,24,7,37</t>
  </si>
  <si>
    <t xml:space="preserve">31,10,9,1,4,3</t>
  </si>
  <si>
    <t xml:space="preserve">1,35,21,24,22</t>
  </si>
  <si>
    <t xml:space="preserve">35,40,3,12,10,19,36,39,25</t>
  </si>
  <si>
    <t xml:space="preserve">1,15,17,29,24,3</t>
  </si>
  <si>
    <t xml:space="preserve">35,2,24,13,21,30</t>
  </si>
  <si>
    <t xml:space="preserve">3,10,25,35,7,2,32</t>
  </si>
  <si>
    <t xml:space="preserve">40,3,35,16,33,18,10</t>
  </si>
  <si>
    <t xml:space="preserve">25,10,2,32,17,4</t>
  </si>
  <si>
    <t xml:space="preserve">28,30,10,31,40,35</t>
  </si>
  <si>
    <t xml:space="preserve">35,24,3,12,31,39</t>
  </si>
  <si>
    <t xml:space="preserve">30,17,28,14,32,5</t>
  </si>
  <si>
    <t xml:space="preserve">35,3,31,33,24,29,23,11</t>
  </si>
  <si>
    <t xml:space="preserve">10,2,35,1,27,24,17,4,39</t>
  </si>
  <si>
    <t xml:space="preserve">30,3,33,25,28,13,37</t>
  </si>
  <si>
    <t xml:space="preserve">35,1,10,8,9,39</t>
  </si>
  <si>
    <t xml:space="preserve">1,13,3,35,36,4,29,28</t>
  </si>
  <si>
    <t xml:space="preserve">13,1,10,27,6,3,17</t>
  </si>
  <si>
    <t xml:space="preserve">25,28,37,1,3,4</t>
  </si>
  <si>
    <t xml:space="preserve">28,18,32,24,37,4,19</t>
  </si>
  <si>
    <t xml:space="preserve">4,24,37,13,19,2,28</t>
  </si>
  <si>
    <t xml:space="preserve">Abtrennen</t>
  </si>
  <si>
    <t xml:space="preserve">Informationsmenge</t>
  </si>
  <si>
    <t xml:space="preserve">28,17,13,7,1,35,2</t>
  </si>
  <si>
    <t xml:space="preserve">28,26,35,3,2</t>
  </si>
  <si>
    <t xml:space="preserve">7,32,13,17,2,3,14</t>
  </si>
  <si>
    <t xml:space="preserve">7,32,17,3,2,14</t>
  </si>
  <si>
    <t xml:space="preserve">7,17,32,2,24,3,28</t>
  </si>
  <si>
    <t xml:space="preserve">32,2,3,24,17,28</t>
  </si>
  <si>
    <t xml:space="preserve">7,19,26,3,32,24,28,2</t>
  </si>
  <si>
    <t xml:space="preserve">26,32,3,2,24,28</t>
  </si>
  <si>
    <t xml:space="preserve">7,17,3,32,26,28,13</t>
  </si>
  <si>
    <t xml:space="preserve">17,7,32,3,13,28,35</t>
  </si>
  <si>
    <t xml:space="preserve">7,3,2,10,13,12,24,19</t>
  </si>
  <si>
    <t xml:space="preserve">7,3,10,12,2,13,24</t>
  </si>
  <si>
    <t xml:space="preserve">10,7,13,37,3,28,12,5</t>
  </si>
  <si>
    <t xml:space="preserve">26,17,12,1,28</t>
  </si>
  <si>
    <t xml:space="preserve">7,10,3,12,2,6,24</t>
  </si>
  <si>
    <t xml:space="preserve">10,6,3,2,24</t>
  </si>
  <si>
    <t xml:space="preserve">7,10,3,2,6,24,12</t>
  </si>
  <si>
    <t xml:space="preserve">2,17,7,24,12,1,26</t>
  </si>
  <si>
    <t xml:space="preserve">2,17,7,12,1,26,24</t>
  </si>
  <si>
    <t xml:space="preserve">24,37,3,10,2,13,25</t>
  </si>
  <si>
    <t xml:space="preserve">2,13,10,19,17</t>
  </si>
  <si>
    <t xml:space="preserve">15,19,4,32</t>
  </si>
  <si>
    <t xml:space="preserve">2,7,19,28,3,13</t>
  </si>
  <si>
    <t xml:space="preserve">2,13,7,28,13,17</t>
  </si>
  <si>
    <t xml:space="preserve">2,7,3,19,13,28,17</t>
  </si>
  <si>
    <t xml:space="preserve">2,10,3,6,28,13</t>
  </si>
  <si>
    <t xml:space="preserve">15,19,7,32,4,37,1</t>
  </si>
  <si>
    <t xml:space="preserve">3,4,2,9,37,10</t>
  </si>
  <si>
    <t xml:space="preserve">28,2,10,5,3</t>
  </si>
  <si>
    <t xml:space="preserve">2,10,13,17,31,28,32</t>
  </si>
  <si>
    <t xml:space="preserve">3,24,4,1,29,25,31</t>
  </si>
  <si>
    <t xml:space="preserve">6,25,10,24,13</t>
  </si>
  <si>
    <t xml:space="preserve">25,10,17,6,19,13</t>
  </si>
  <si>
    <t xml:space="preserve">10,24,13,25,31</t>
  </si>
  <si>
    <t xml:space="preserve">25,1,24,13,17</t>
  </si>
  <si>
    <t xml:space="preserve">7,10,17,24,3,19</t>
  </si>
  <si>
    <t xml:space="preserve">2,37,10,13,1,24,19</t>
  </si>
  <si>
    <t xml:space="preserve">7,3,32,19,25,17</t>
  </si>
  <si>
    <t xml:space="preserve">1,11,28,15,2,27,13,31</t>
  </si>
  <si>
    <t xml:space="preserve">25,13,10,1,7,2,33</t>
  </si>
  <si>
    <t xml:space="preserve">13,3,10,37,2</t>
  </si>
  <si>
    <t xml:space="preserve">25,1,6,13,26</t>
  </si>
  <si>
    <t xml:space="preserve">2,25,19,3,10,13,37</t>
  </si>
  <si>
    <t xml:space="preserve">10,25,5,13,3,2,40</t>
  </si>
  <si>
    <t xml:space="preserve">25,40,10,3,7,2,4,5</t>
  </si>
  <si>
    <t xml:space="preserve">3,4,37,25,40,2</t>
  </si>
  <si>
    <t xml:space="preserve">37,3,17,28,24,4,13</t>
  </si>
  <si>
    <t xml:space="preserve">Lokale Eigenschaft</t>
  </si>
  <si>
    <t xml:space="preserve">Wirkungsdauer eines bewegten Objekts</t>
  </si>
  <si>
    <t xml:space="preserve">15,19,5,8,31,34,35</t>
  </si>
  <si>
    <t xml:space="preserve">35,3,31,34,8,4,2</t>
  </si>
  <si>
    <t xml:space="preserve">17,8,19,9,35,2,12,24</t>
  </si>
  <si>
    <t xml:space="preserve">3,17,12,9,35,2,19,13</t>
  </si>
  <si>
    <t xml:space="preserve">17,19,7,8,9,24,13</t>
  </si>
  <si>
    <t xml:space="preserve">3,17,9,24,12,19,13</t>
  </si>
  <si>
    <t xml:space="preserve">19,10,30,7,14,2,13</t>
  </si>
  <si>
    <t xml:space="preserve">10,30,35,12,13,4,2,3</t>
  </si>
  <si>
    <t xml:space="preserve">17,14,28,10,1,26,25</t>
  </si>
  <si>
    <t xml:space="preserve">3,40,17,35,6,10,13</t>
  </si>
  <si>
    <t xml:space="preserve">7,2,32,3,24,10,25</t>
  </si>
  <si>
    <t xml:space="preserve">10,2,24,20,13,4,17,6</t>
  </si>
  <si>
    <t xml:space="preserve">3,35,5,13,17,4,37,9</t>
  </si>
  <si>
    <t xml:space="preserve">19,2,16,13,15,12,9</t>
  </si>
  <si>
    <t xml:space="preserve">18,28,35,6,15,12</t>
  </si>
  <si>
    <t xml:space="preserve">35,6,18,28,19,12</t>
  </si>
  <si>
    <t xml:space="preserve">19,18,35,10,38,13,12</t>
  </si>
  <si>
    <t xml:space="preserve">12,19,40,3,17,14,4,12</t>
  </si>
  <si>
    <t xml:space="preserve">35,3,17,14,12,27,4,19</t>
  </si>
  <si>
    <t xml:space="preserve">35,24,40,13,3,33,12,19</t>
  </si>
  <si>
    <t xml:space="preserve">19,35,13,3,36,17,39</t>
  </si>
  <si>
    <t xml:space="preserve">35,19,24,4,13,2,7</t>
  </si>
  <si>
    <t xml:space="preserve">13,1,19,12,3,29,28,15</t>
  </si>
  <si>
    <t xml:space="preserve">18,13,14,28,3,34,10,38</t>
  </si>
  <si>
    <t xml:space="preserve">28,3,19,10,24,5,16</t>
  </si>
  <si>
    <t xml:space="preserve">10,24,35,23,5,3</t>
  </si>
  <si>
    <t xml:space="preserve">10,24,25,3,7,5</t>
  </si>
  <si>
    <t xml:space="preserve">17,7,18,9,3,16,24</t>
  </si>
  <si>
    <t xml:space="preserve">1,4,14,18,3,7</t>
  </si>
  <si>
    <t xml:space="preserve">40,3,37,6,11,30,4,39,14</t>
  </si>
  <si>
    <t xml:space="preserve">7,13,30,35,1,17,4,40</t>
  </si>
  <si>
    <t xml:space="preserve">28,35,24,3,7,11,33,13</t>
  </si>
  <si>
    <t xml:space="preserve">10,25,24,12,1,26,37</t>
  </si>
  <si>
    <t xml:space="preserve">35,12,13,40,3,1</t>
  </si>
  <si>
    <t xml:space="preserve">3,10,17,19,7,34,13</t>
  </si>
  <si>
    <t xml:space="preserve">28,2,10,26,13</t>
  </si>
  <si>
    <t xml:space="preserve">10,37,3,24,19,12</t>
  </si>
  <si>
    <t xml:space="preserve">35,2,7,3,24,30</t>
  </si>
  <si>
    <t xml:space="preserve">21,28,15,24,33,10,30,39</t>
  </si>
  <si>
    <t xml:space="preserve">35,4,10,3,2,5,40</t>
  </si>
  <si>
    <t xml:space="preserve">3,16,40,10,37,12,25</t>
  </si>
  <si>
    <t xml:space="preserve">10,30,17,6,24,31,1,13</t>
  </si>
  <si>
    <t xml:space="preserve">10,35,19,3,14,17,15,40</t>
  </si>
  <si>
    <t xml:space="preserve">5,15,10,4,2,28,29,25</t>
  </si>
  <si>
    <t xml:space="preserve">5,28,26,20,37,4</t>
  </si>
  <si>
    <t xml:space="preserve">10,37,4,32,19,35,39,28</t>
  </si>
  <si>
    <t xml:space="preserve">3,17,24,10,26</t>
  </si>
  <si>
    <t xml:space="preserve">Asymmetrie</t>
  </si>
  <si>
    <t xml:space="preserve">Wirkungsdauer eines stationären Objekts</t>
  </si>
  <si>
    <t xml:space="preserve">35,31,8,19,4,15,34</t>
  </si>
  <si>
    <t xml:space="preserve">35,6,2,31,19,3,34</t>
  </si>
  <si>
    <t xml:space="preserve">17,40,19,2,35,3,8</t>
  </si>
  <si>
    <t xml:space="preserve">40,35,1,9,17,2,13</t>
  </si>
  <si>
    <t xml:space="preserve">3,35,18,19,14,2</t>
  </si>
  <si>
    <t xml:space="preserve">35,17,3,30,7,14</t>
  </si>
  <si>
    <t xml:space="preserve">35,19,18,3,13,17,4</t>
  </si>
  <si>
    <t xml:space="preserve">35,40,31,3,34,38,19,13</t>
  </si>
  <si>
    <t xml:space="preserve">17,3,40,14,33,13,10,7</t>
  </si>
  <si>
    <t xml:space="preserve">35,31,3,40,17,13,6</t>
  </si>
  <si>
    <t xml:space="preserve">24,7,10,25,3,2,32</t>
  </si>
  <si>
    <t xml:space="preserve">35,24,28,4,3,25,29,34</t>
  </si>
  <si>
    <t xml:space="preserve">35,28,29,3,4,14,13</t>
  </si>
  <si>
    <t xml:space="preserve">17,40,35,9,7,5</t>
  </si>
  <si>
    <t xml:space="preserve">13,25,40,24,3,27,35</t>
  </si>
  <si>
    <t xml:space="preserve">35,40,13,2,19,7,2,30</t>
  </si>
  <si>
    <t xml:space="preserve">35,2,13,16,40</t>
  </si>
  <si>
    <t xml:space="preserve">17,4,40,12,14,13</t>
  </si>
  <si>
    <t xml:space="preserve">35,3,9,17,14,4,19,27</t>
  </si>
  <si>
    <t xml:space="preserve">5,35,39,3,12,24,31</t>
  </si>
  <si>
    <t xml:space="preserve">19,24,35,40,36,15,16</t>
  </si>
  <si>
    <t xml:space="preserve">35,40,24,2,19,7,13</t>
  </si>
  <si>
    <t xml:space="preserve">3,19,12,15,13,1</t>
  </si>
  <si>
    <t xml:space="preserve">35,10,17,4,7,18,16,4</t>
  </si>
  <si>
    <t xml:space="preserve">3,24,10,14,5,28,16</t>
  </si>
  <si>
    <t xml:space="preserve">10,12,35,40,34,24,19</t>
  </si>
  <si>
    <t xml:space="preserve">10,7,2,24,25,19,35</t>
  </si>
  <si>
    <t xml:space="preserve">31,35,24,14,5,30</t>
  </si>
  <si>
    <t xml:space="preserve">1,3,14,18,4,17,7</t>
  </si>
  <si>
    <t xml:space="preserve">35,14,40,3,39,13,33</t>
  </si>
  <si>
    <t xml:space="preserve">13,5,4,17,2,35,40</t>
  </si>
  <si>
    <t xml:space="preserve">10,24,17,28,11,3</t>
  </si>
  <si>
    <t xml:space="preserve">25,1,3,10,37,13,24</t>
  </si>
  <si>
    <t xml:space="preserve">35,3,9,40,13,30,36</t>
  </si>
  <si>
    <t xml:space="preserve">3,10,19,1,28,13</t>
  </si>
  <si>
    <t xml:space="preserve">28,26,10,2,24</t>
  </si>
  <si>
    <t xml:space="preserve">10,37,24,3,12</t>
  </si>
  <si>
    <t xml:space="preserve">35,2,3,24,30</t>
  </si>
  <si>
    <t xml:space="preserve">1,35,33,39,40,24,10,17</t>
  </si>
  <si>
    <t xml:space="preserve">35,10,40,5,13,2</t>
  </si>
  <si>
    <t xml:space="preserve">40,37,25,3,16,13</t>
  </si>
  <si>
    <t xml:space="preserve">1,17,13,24,6,31</t>
  </si>
  <si>
    <t xml:space="preserve">10,40,38,16,3,20,35</t>
  </si>
  <si>
    <t xml:space="preserve">5,10,2,25,4,17,14</t>
  </si>
  <si>
    <t xml:space="preserve">28,37,4,20,5,6</t>
  </si>
  <si>
    <t xml:space="preserve">32,35,25,6,4,37,39,28</t>
  </si>
  <si>
    <t xml:space="preserve">10,26,24,37,4,3</t>
  </si>
  <si>
    <t xml:space="preserve">Vereinen</t>
  </si>
  <si>
    <t xml:space="preserve">13,14,8,28,1,17,2,38</t>
  </si>
  <si>
    <t xml:space="preserve">1,13,2,10,35,3</t>
  </si>
  <si>
    <t xml:space="preserve">13,17,28,2,29,14,1</t>
  </si>
  <si>
    <t xml:space="preserve">17,15,30,2,14,1</t>
  </si>
  <si>
    <t xml:space="preserve">17,14,4,1,29,30,3,5,34</t>
  </si>
  <si>
    <t xml:space="preserve">14,5,3,17,1,4,13</t>
  </si>
  <si>
    <t xml:space="preserve">28,2,7,34,35,5,14,4</t>
  </si>
  <si>
    <t xml:space="preserve">28,5,2,35,7,9,1,18</t>
  </si>
  <si>
    <t xml:space="preserve">17,7,15,18,35,3,4,2</t>
  </si>
  <si>
    <t xml:space="preserve">2,35,19,5,10,38,9</t>
  </si>
  <si>
    <t xml:space="preserve">7,2,10,5,37,28,3</t>
  </si>
  <si>
    <t xml:space="preserve">35,40,19,3,5,13</t>
  </si>
  <si>
    <t xml:space="preserve">3,13,35,5,2,24</t>
  </si>
  <si>
    <t xml:space="preserve">19,13,15,28,29,3,18,5,17</t>
  </si>
  <si>
    <t xml:space="preserve">35,28,38,19,12,15</t>
  </si>
  <si>
    <t xml:space="preserve">35,19,28,12,38</t>
  </si>
  <si>
    <t xml:space="preserve">19,35,13,36,2,28,38</t>
  </si>
  <si>
    <t xml:space="preserve">28,14,6,40,38,18,12,35</t>
  </si>
  <si>
    <t xml:space="preserve">28,8,3,14,5,40,26</t>
  </si>
  <si>
    <t xml:space="preserve">28,2,3,5,33,18</t>
  </si>
  <si>
    <t xml:space="preserve">28,36,31,3,40,2,30</t>
  </si>
  <si>
    <t xml:space="preserve">19,35,13,10,24,32,26</t>
  </si>
  <si>
    <t xml:space="preserve">35,13,10,24,19,3,4,1,20</t>
  </si>
  <si>
    <t xml:space="preserve">28,35,13,10,1,3,38</t>
  </si>
  <si>
    <t xml:space="preserve">13,5,10,3,1,25,19</t>
  </si>
  <si>
    <t xml:space="preserve">19,1,35,14,20,5,13</t>
  </si>
  <si>
    <t xml:space="preserve">10,7,6,24,26,37,3</t>
  </si>
  <si>
    <t xml:space="preserve">3,14,28,9,5,17,24</t>
  </si>
  <si>
    <t xml:space="preserve">19,18,1,24,3,35</t>
  </si>
  <si>
    <t xml:space="preserve">35,21,2,24,33,28,11,16,34</t>
  </si>
  <si>
    <t xml:space="preserve">15,10,28,26,1,30,35</t>
  </si>
  <si>
    <t xml:space="preserve">7,19,6,24,3,2</t>
  </si>
  <si>
    <t xml:space="preserve">28,37,13,25,32,15,17</t>
  </si>
  <si>
    <t xml:space="preserve">35,28,23,24,2,11,40</t>
  </si>
  <si>
    <t xml:space="preserve">28,2,34,13,23,27,1</t>
  </si>
  <si>
    <t xml:space="preserve">28,24,10,2,19,32</t>
  </si>
  <si>
    <t xml:space="preserve">31,35,11,13,3,7,40</t>
  </si>
  <si>
    <t xml:space="preserve">14,3,32,22,17,4</t>
  </si>
  <si>
    <t xml:space="preserve">28,35,19,4,11,22,18,21</t>
  </si>
  <si>
    <t xml:space="preserve">35,13,28,1,8,29,17</t>
  </si>
  <si>
    <t xml:space="preserve">28,10,25,12,16,35,24</t>
  </si>
  <si>
    <t xml:space="preserve">10,28,2,13,17,24</t>
  </si>
  <si>
    <t xml:space="preserve">2,3,28,10,13,35,24</t>
  </si>
  <si>
    <t xml:space="preserve">5,28,4,10,13,34,40,30</t>
  </si>
  <si>
    <t xml:space="preserve">25,10,19,1,4,13</t>
  </si>
  <si>
    <t xml:space="preserve">3,26,24,16,28,34,27</t>
  </si>
  <si>
    <t xml:space="preserve">28,25,24,32,1,13,17,26</t>
  </si>
  <si>
    <t xml:space="preserve">Mehrzwecknutzung</t>
  </si>
  <si>
    <t xml:space="preserve">8,1,9,13,37,28,31,35,18</t>
  </si>
  <si>
    <t xml:space="preserve">9,13,28,1,35,40,18</t>
  </si>
  <si>
    <t xml:space="preserve">17,35,9,3,14,19,28,36,29</t>
  </si>
  <si>
    <t xml:space="preserve">35,28,17,9,17,40,10,37</t>
  </si>
  <si>
    <t xml:space="preserve">15,17,10,14,19,3,29,39,40</t>
  </si>
  <si>
    <t xml:space="preserve">1,3,17,40,37,18,9,35</t>
  </si>
  <si>
    <t xml:space="preserve">12,15,9,35,37,14,4</t>
  </si>
  <si>
    <t xml:space="preserve">1,18,37,35,3,2,10,36</t>
  </si>
  <si>
    <t xml:space="preserve">35,10,3,40,31,34,4,14</t>
  </si>
  <si>
    <t xml:space="preserve">14,18,29,28,35,3,1,8,36</t>
  </si>
  <si>
    <t xml:space="preserve">13,17,37,3,1</t>
  </si>
  <si>
    <t xml:space="preserve">19,10,2,12,28</t>
  </si>
  <si>
    <t xml:space="preserve">2,10,13,3,12,19,26</t>
  </si>
  <si>
    <t xml:space="preserve">13,15,9,28,12,2</t>
  </si>
  <si>
    <t xml:space="preserve">19,17,35,10,2,8,3,24</t>
  </si>
  <si>
    <t xml:space="preserve">1,35,10,19,8,17,37</t>
  </si>
  <si>
    <t xml:space="preserve">19,35,37,17,1,28,18</t>
  </si>
  <si>
    <t xml:space="preserve">21,18,9,40,12,2,24,17,3</t>
  </si>
  <si>
    <t xml:space="preserve">35,14,9,3,17,5,27,7</t>
  </si>
  <si>
    <t xml:space="preserve">35,10,24,21,1,13,12,37</t>
  </si>
  <si>
    <t xml:space="preserve">35,36,21,10,24,31</t>
  </si>
  <si>
    <t xml:space="preserve">13,2,19,35,24,5,3</t>
  </si>
  <si>
    <t xml:space="preserve">19,35,6,13,34,15</t>
  </si>
  <si>
    <t xml:space="preserve">3,35,40,12,17,5,28</t>
  </si>
  <si>
    <t xml:space="preserve">10,3,23,37,25,5</t>
  </si>
  <si>
    <t xml:space="preserve">19,15,2,5,14,35,34</t>
  </si>
  <si>
    <t xml:space="preserve">37,32,7,24,1,13,10</t>
  </si>
  <si>
    <t xml:space="preserve">13,9,24,12,10,5,7,14</t>
  </si>
  <si>
    <t xml:space="preserve">15,2,35,5,21,3,13</t>
  </si>
  <si>
    <t xml:space="preserve">3,13,24,14,17,29,23,40,12</t>
  </si>
  <si>
    <t xml:space="preserve">15,17,3,19,29,35,4,18,24</t>
  </si>
  <si>
    <t xml:space="preserve">28,5,6,25,24</t>
  </si>
  <si>
    <t xml:space="preserve">1,28,25,4,3,19,29,17,10</t>
  </si>
  <si>
    <t xml:space="preserve">14,35,1,13,24,3,40</t>
  </si>
  <si>
    <t xml:space="preserve">15,17,1,13,2</t>
  </si>
  <si>
    <t xml:space="preserve">10,28,3,13,15,1</t>
  </si>
  <si>
    <t xml:space="preserve">2,12,31,39,11,17,24</t>
  </si>
  <si>
    <t xml:space="preserve">14,3,7,12,35,31,30</t>
  </si>
  <si>
    <t xml:space="preserve">10,35,40,22,17,15,33,21,39</t>
  </si>
  <si>
    <t xml:space="preserve">15,18,35,6,37,16,10</t>
  </si>
  <si>
    <t xml:space="preserve">28,29,5,37,36,12,13,17,25</t>
  </si>
  <si>
    <t xml:space="preserve">2,10,35,13,25</t>
  </si>
  <si>
    <t xml:space="preserve">35,28,3,10,37,25,5</t>
  </si>
  <si>
    <t xml:space="preserve">5,10,35,4,28,18,14,26</t>
  </si>
  <si>
    <t xml:space="preserve">37,10,28,25,3,13,2</t>
  </si>
  <si>
    <t xml:space="preserve">37,10,19,3,28,29,36</t>
  </si>
  <si>
    <t xml:space="preserve">24,37,32,3,28,10</t>
  </si>
  <si>
    <t xml:space="preserve">Verschachtelung</t>
  </si>
  <si>
    <t xml:space="preserve">Energieverbrauch eines bewegten Objektes</t>
  </si>
  <si>
    <t xml:space="preserve">28,35,19,12,31,18,5</t>
  </si>
  <si>
    <t xml:space="preserve">28,35,5,12,18,31,13</t>
  </si>
  <si>
    <t xml:space="preserve">28,12,15,35,17,19</t>
  </si>
  <si>
    <t xml:space="preserve">35,2,19,15,28</t>
  </si>
  <si>
    <t xml:space="preserve">15,19,4,3,25,14</t>
  </si>
  <si>
    <t xml:space="preserve">35,2,17,14,15,3</t>
  </si>
  <si>
    <t xml:space="preserve">13,35,18,29,2,17,25</t>
  </si>
  <si>
    <t xml:space="preserve">3,25,34,38,35,7,2</t>
  </si>
  <si>
    <t xml:space="preserve">29,2,3,12,19,15,28</t>
  </si>
  <si>
    <t xml:space="preserve">35,2,34,19,18,16,38,30</t>
  </si>
  <si>
    <t xml:space="preserve">7,2,25,24,3,37</t>
  </si>
  <si>
    <t xml:space="preserve">18,28,35,6,15,12,10</t>
  </si>
  <si>
    <t xml:space="preserve">28,2,35,13,6,12,10,19</t>
  </si>
  <si>
    <t xml:space="preserve">35,28,13,19,5,8</t>
  </si>
  <si>
    <t xml:space="preserve">21,2,19,35,26,16,18,24,3</t>
  </si>
  <si>
    <t xml:space="preserve">15,28,13,2,35</t>
  </si>
  <si>
    <t xml:space="preserve">19,6,34,37,18,7,15</t>
  </si>
  <si>
    <t xml:space="preserve">14,25,15,17,28,37,7,3,19</t>
  </si>
  <si>
    <t xml:space="preserve">19,35,5,9,29,28,12</t>
  </si>
  <si>
    <t xml:space="preserve">13,19,24,17,5,39,35</t>
  </si>
  <si>
    <t xml:space="preserve">24,19,36,2,3,14,4</t>
  </si>
  <si>
    <t xml:space="preserve">35,19,24,5,14,3,25</t>
  </si>
  <si>
    <t xml:space="preserve">2,13,28,12,10,15,3,6</t>
  </si>
  <si>
    <t xml:space="preserve">28,35,5,3,18,24</t>
  </si>
  <si>
    <t xml:space="preserve">10,18,28,5,35,38,20</t>
  </si>
  <si>
    <t xml:space="preserve">19,15,12,28,24,21,34,13</t>
  </si>
  <si>
    <t xml:space="preserve">13,24,7,22,37,2</t>
  </si>
  <si>
    <t xml:space="preserve">17,14,4,7,5,9,31</t>
  </si>
  <si>
    <t xml:space="preserve">1,24,19,21,4,15,2</t>
  </si>
  <si>
    <t xml:space="preserve">35,2,11,16,6,39,25,3</t>
  </si>
  <si>
    <t xml:space="preserve">24,15,13,29,28,17,30,7</t>
  </si>
  <si>
    <t xml:space="preserve">10,24,28,1,13</t>
  </si>
  <si>
    <t xml:space="preserve">28,3,35,1,26,19</t>
  </si>
  <si>
    <t xml:space="preserve">13,21,10,35,15,28</t>
  </si>
  <si>
    <t xml:space="preserve">1,17,28,10,15,13</t>
  </si>
  <si>
    <t xml:space="preserve">10,28,5,24,13</t>
  </si>
  <si>
    <t xml:space="preserve">12,39,35,31,30,11,24</t>
  </si>
  <si>
    <t xml:space="preserve">17,7,4,3,32</t>
  </si>
  <si>
    <t xml:space="preserve">2,10,3,22,37,34,9,7</t>
  </si>
  <si>
    <t xml:space="preserve">28,5,30,10,40,26,8,2</t>
  </si>
  <si>
    <t xml:space="preserve">10,25,12,24,26,3</t>
  </si>
  <si>
    <t xml:space="preserve">2,10,13,5,17,15,3,32</t>
  </si>
  <si>
    <t xml:space="preserve">35,28,24,25,12,10,1</t>
  </si>
  <si>
    <t xml:space="preserve">5,2,28,27,12,13</t>
  </si>
  <si>
    <t xml:space="preserve">3,5,25,10,37,13,1</t>
  </si>
  <si>
    <t xml:space="preserve">10,37,3,25,13,7</t>
  </si>
  <si>
    <t xml:space="preserve">37,3,5,28,8,30,32</t>
  </si>
  <si>
    <t xml:space="preserve">Gegengewicht</t>
  </si>
  <si>
    <t xml:space="preserve">Energieverbrauch eines stationären Objektes</t>
  </si>
  <si>
    <t xml:space="preserve">35,28,13,8,3,19</t>
  </si>
  <si>
    <t xml:space="preserve">19,13,35,9,28,6</t>
  </si>
  <si>
    <t xml:space="preserve">17,4,12,3,24,14</t>
  </si>
  <si>
    <t xml:space="preserve">4,17,9,19,3,16</t>
  </si>
  <si>
    <t xml:space="preserve">3,4,13,5,12,24</t>
  </si>
  <si>
    <t xml:space="preserve">4,17,3,14,16,19</t>
  </si>
  <si>
    <t xml:space="preserve">2,35,13,19,13,18,28,4</t>
  </si>
  <si>
    <t xml:space="preserve">35,39,19,2,18,28,4,9</t>
  </si>
  <si>
    <t xml:space="preserve">7,35,24,30,13,5,10,36</t>
  </si>
  <si>
    <t xml:space="preserve">35,31,3,24,28,13,4,9</t>
  </si>
  <si>
    <t xml:space="preserve">2,19,17,20,7</t>
  </si>
  <si>
    <t xml:space="preserve">40,35,3,19,4,28,24</t>
  </si>
  <si>
    <t xml:space="preserve">40,35,3,17,28,26,24</t>
  </si>
  <si>
    <t xml:space="preserve">1,3,28,19,13,25</t>
  </si>
  <si>
    <t xml:space="preserve">9,36,37,35,5,17</t>
  </si>
  <si>
    <t xml:space="preserve">2,19,3,13,5</t>
  </si>
  <si>
    <t xml:space="preserve">2,5,19,13,35</t>
  </si>
  <si>
    <t xml:space="preserve">17,9,4,19,35,40,14</t>
  </si>
  <si>
    <t xml:space="preserve">35,40,14,3,2,13,17</t>
  </si>
  <si>
    <t xml:space="preserve">35,4,24,40,17,14,18,1</t>
  </si>
  <si>
    <t xml:space="preserve">3,2,35,19,21,36</t>
  </si>
  <si>
    <t xml:space="preserve">19,35,2,32,5,24</t>
  </si>
  <si>
    <t xml:space="preserve">2,19,15,13,12,28,25</t>
  </si>
  <si>
    <t xml:space="preserve">31,28,18,12,4,9,34</t>
  </si>
  <si>
    <t xml:space="preserve">4,10,40,7,9,17</t>
  </si>
  <si>
    <t xml:space="preserve">35,31,1,4,24,34,36</t>
  </si>
  <si>
    <t xml:space="preserve">2,10,7,13,3</t>
  </si>
  <si>
    <t xml:space="preserve">31,14,25,17,3,4,1</t>
  </si>
  <si>
    <t xml:space="preserve">21,35,24,3,1,18,13</t>
  </si>
  <si>
    <t xml:space="preserve">19,3,15,18,4,24,28,12</t>
  </si>
  <si>
    <t xml:space="preserve">35,15,13,17,1</t>
  </si>
  <si>
    <t xml:space="preserve">24,3,35,12,33,13,28</t>
  </si>
  <si>
    <t xml:space="preserve">13,15,24,10,11,3</t>
  </si>
  <si>
    <t xml:space="preserve">35,10,13,25,3,2,36</t>
  </si>
  <si>
    <t xml:space="preserve">35,17,1,27,3</t>
  </si>
  <si>
    <t xml:space="preserve">28,10,23,2,13,30</t>
  </si>
  <si>
    <t xml:space="preserve">24,3,16,30,26,39,25</t>
  </si>
  <si>
    <t xml:space="preserve">17,4,3,7,32,30</t>
  </si>
  <si>
    <t xml:space="preserve">2,9,3,37,19,7,37,4,36</t>
  </si>
  <si>
    <t xml:space="preserve">4,8,1,10,2</t>
  </si>
  <si>
    <t xml:space="preserve">37,10,3,2,13,17</t>
  </si>
  <si>
    <t xml:space="preserve">10,2,8,34,35</t>
  </si>
  <si>
    <t xml:space="preserve">1,10,6,35,34,7</t>
  </si>
  <si>
    <t xml:space="preserve">35,28,4,3,13,16,34</t>
  </si>
  <si>
    <t xml:space="preserve">2,25,18,10,30,28</t>
  </si>
  <si>
    <t xml:space="preserve">28,19,35,25,4,17</t>
  </si>
  <si>
    <t xml:space="preserve">28,37,4,18,24</t>
  </si>
  <si>
    <t xml:space="preserve">Vorgezogene Gegenaktion</t>
  </si>
  <si>
    <t xml:space="preserve">8,38,2,25,31,19,28,35</t>
  </si>
  <si>
    <t xml:space="preserve">19,2,35,31,26,28,29,17,27</t>
  </si>
  <si>
    <t xml:space="preserve">1,17,35,10,37,36,28,30,29</t>
  </si>
  <si>
    <t xml:space="preserve">17,14,1,35,4,10,28,29,30</t>
  </si>
  <si>
    <t xml:space="preserve">19,38,35,2,25,3,15,4</t>
  </si>
  <si>
    <t xml:space="preserve">17,19,38,13,3,15,25,32,2</t>
  </si>
  <si>
    <t xml:space="preserve">19,38,2,35,25,6,15,4,14</t>
  </si>
  <si>
    <t xml:space="preserve">19,35,25,36,6,30,15,3,14</t>
  </si>
  <si>
    <t xml:space="preserve">29,14,15,1,35,40,4,3,36</t>
  </si>
  <si>
    <t xml:space="preserve">35,19,38,4,3,40,18,24,30</t>
  </si>
  <si>
    <t xml:space="preserve">10,28,19,12,24,37</t>
  </si>
  <si>
    <t xml:space="preserve">19,35,10,38,4,28,1,21</t>
  </si>
  <si>
    <t xml:space="preserve">38,35,10,4,28,19,16</t>
  </si>
  <si>
    <t xml:space="preserve">15,2,19,35,3,14,24,1,13</t>
  </si>
  <si>
    <t xml:space="preserve">2,19,15,35,36,1,3,13,14</t>
  </si>
  <si>
    <t xml:space="preserve">19,6,37,36,15,3,2,16,4,1</t>
  </si>
  <si>
    <t xml:space="preserve">19,15,3,2,6,16,37,1</t>
  </si>
  <si>
    <t xml:space="preserve">35,10,3,30,14,4,2,28,27</t>
  </si>
  <si>
    <t xml:space="preserve">28,40,31,10,35,26,13</t>
  </si>
  <si>
    <t xml:space="preserve">35,31,1,15,40,32,19,10,3</t>
  </si>
  <si>
    <t xml:space="preserve">19,5,3,2,36,25,14,32,13</t>
  </si>
  <si>
    <t xml:space="preserve">19,35,25,28,7,31,3,16,23</t>
  </si>
  <si>
    <t xml:space="preserve">2,28,14,15,3,6,24</t>
  </si>
  <si>
    <t xml:space="preserve">30,1,28,29,12,34,38,18,27</t>
  </si>
  <si>
    <t xml:space="preserve">10,15,35,6,19,20,4,12</t>
  </si>
  <si>
    <t xml:space="preserve">15,35,1,38,10,14,3,24</t>
  </si>
  <si>
    <t xml:space="preserve">10,19,24,28,1,3,25</t>
  </si>
  <si>
    <t xml:space="preserve">24,28,13,3,14,39,5,25</t>
  </si>
  <si>
    <t xml:space="preserve">1,3,35,15,19,2,14,10,25</t>
  </si>
  <si>
    <t xml:space="preserve">1,18,2,35,28,13,15,3,39</t>
  </si>
  <si>
    <t xml:space="preserve">15,28,19,35,3,34,17,37,12</t>
  </si>
  <si>
    <t xml:space="preserve">24,28,15,13,12,11,7,2</t>
  </si>
  <si>
    <t xml:space="preserve">26,10,35,25,24,2,37,12</t>
  </si>
  <si>
    <t xml:space="preserve">35,2,3,24,28,12,37,19,31</t>
  </si>
  <si>
    <t xml:space="preserve">10,2,35,1,27,34,3,12,15</t>
  </si>
  <si>
    <t xml:space="preserve">10,28,1,23,5</t>
  </si>
  <si>
    <t xml:space="preserve">35,19,11,25,31,30,17,12,8</t>
  </si>
  <si>
    <t xml:space="preserve">28,15,14,22,4,32,24</t>
  </si>
  <si>
    <t xml:space="preserve">39,2,19,31,22,9,16,12,36</t>
  </si>
  <si>
    <t xml:space="preserve">10,28,26,21,34,25,24,29,8</t>
  </si>
  <si>
    <t xml:space="preserve">2,3,10,14,32,15,12</t>
  </si>
  <si>
    <t xml:space="preserve">28,2,13,24,27,17</t>
  </si>
  <si>
    <t xml:space="preserve">28,1,35,14,34,2,3</t>
  </si>
  <si>
    <t xml:space="preserve">35,30,19,20,2,34,13,28</t>
  </si>
  <si>
    <t xml:space="preserve">2,25,15,26,28,20</t>
  </si>
  <si>
    <t xml:space="preserve">28,35,19,3,16,32,37,25,2</t>
  </si>
  <si>
    <t xml:space="preserve">2,37,15,25,10,32</t>
  </si>
  <si>
    <t xml:space="preserve">Vorgezogene Aktion</t>
  </si>
  <si>
    <t xml:space="preserve">40,35,31,10,36,37,2,17</t>
  </si>
  <si>
    <t xml:space="preserve">35,10,13,31,29,40,2,17</t>
  </si>
  <si>
    <t xml:space="preserve">35,9,40,17,3,14,4,13</t>
  </si>
  <si>
    <t xml:space="preserve">3,14,17,35,40,4,9,1</t>
  </si>
  <si>
    <t xml:space="preserve">10,35,40,14,17,28,15,3</t>
  </si>
  <si>
    <t xml:space="preserve">40,14,35,10,37,17,3</t>
  </si>
  <si>
    <t xml:space="preserve">35,10,40,3,15,14,4,17</t>
  </si>
  <si>
    <t xml:space="preserve">35,17,4,40,3,30,24,14</t>
  </si>
  <si>
    <t xml:space="preserve">35,4,40,3,30,14,31,15</t>
  </si>
  <si>
    <t xml:space="preserve">35,10,25,31,14,13,12,5</t>
  </si>
  <si>
    <t xml:space="preserve">28,2,26,7,24</t>
  </si>
  <si>
    <t xml:space="preserve">19,3,35,4,13,14,2</t>
  </si>
  <si>
    <t xml:space="preserve">3,14,35,9,2,5,12</t>
  </si>
  <si>
    <t xml:space="preserve">35,17,24,13,6,14,29,36</t>
  </si>
  <si>
    <t xml:space="preserve">35,17,14,9,12,4,36</t>
  </si>
  <si>
    <t xml:space="preserve">10,17,14,24,12,37,29,35</t>
  </si>
  <si>
    <t xml:space="preserve">17,14,10,35,4,12,24,37</t>
  </si>
  <si>
    <t xml:space="preserve">35,29,10,17,14,28,4,1</t>
  </si>
  <si>
    <t xml:space="preserve">3,17,40,9,35,19,1,36</t>
  </si>
  <si>
    <t xml:space="preserve">35,5,40,2,33,31,12</t>
  </si>
  <si>
    <t xml:space="preserve">35,3,19,2,39,31,36</t>
  </si>
  <si>
    <t xml:space="preserve">24,12,22,35,2,19</t>
  </si>
  <si>
    <t xml:space="preserve">2,40,13,17,5,18,8</t>
  </si>
  <si>
    <t xml:space="preserve">10,25,3,4,17,37,24,36</t>
  </si>
  <si>
    <t xml:space="preserve">1,4,37,13,10,26</t>
  </si>
  <si>
    <t xml:space="preserve">3,25,2,35,12,17,30</t>
  </si>
  <si>
    <t xml:space="preserve">37,28,2,7,24</t>
  </si>
  <si>
    <t xml:space="preserve">31,35,40,14,4,29,9</t>
  </si>
  <si>
    <t xml:space="preserve">35,24,2,1,21,31,19</t>
  </si>
  <si>
    <t xml:space="preserve">2,33,25,35,18,17,31,24</t>
  </si>
  <si>
    <t xml:space="preserve">15,35,17,13,3,30,31</t>
  </si>
  <si>
    <t xml:space="preserve">25,10,6,28,4,17</t>
  </si>
  <si>
    <t xml:space="preserve">17,3,19,28,26,1,14</t>
  </si>
  <si>
    <t xml:space="preserve">40,13,35,19,4,25,9,12,28</t>
  </si>
  <si>
    <t xml:space="preserve">2,17,10,25,27</t>
  </si>
  <si>
    <t xml:space="preserve">2,28,24,10,1</t>
  </si>
  <si>
    <t xml:space="preserve">31,40,35,4,24,37</t>
  </si>
  <si>
    <t xml:space="preserve">17,7,4,40,3</t>
  </si>
  <si>
    <t xml:space="preserve">3,12,4,25,33,10,13</t>
  </si>
  <si>
    <t xml:space="preserve">2,1,35,17,16,31,8</t>
  </si>
  <si>
    <t xml:space="preserve">3,25,2,35,12,32</t>
  </si>
  <si>
    <t xml:space="preserve">10,35,25,12,2,40</t>
  </si>
  <si>
    <t xml:space="preserve">10,40,25,24,14,35,37</t>
  </si>
  <si>
    <t xml:space="preserve">17,5,2,24,35,19</t>
  </si>
  <si>
    <t xml:space="preserve">28,32,4,37,6,3</t>
  </si>
  <si>
    <t xml:space="preserve">37,17,4,32,2,3,36,28</t>
  </si>
  <si>
    <t xml:space="preserve">37,25,17,28,3,6,4</t>
  </si>
  <si>
    <t xml:space="preserve">Vorbeugemaßnahme</t>
  </si>
  <si>
    <t xml:space="preserve">40,31,17,8,1,35,3,4</t>
  </si>
  <si>
    <t xml:space="preserve">40,31,2,1,17,26,35,3</t>
  </si>
  <si>
    <t xml:space="preserve">17,35,40,1,4,15,8</t>
  </si>
  <si>
    <t xml:space="preserve">17,35,9,37,14,4,40,15</t>
  </si>
  <si>
    <t xml:space="preserve">14,17,3,7,19,4,40,5</t>
  </si>
  <si>
    <t xml:space="preserve">14,17,9,40,3,4,13</t>
  </si>
  <si>
    <t xml:space="preserve">4,7,17,14,35,10,15,31</t>
  </si>
  <si>
    <t xml:space="preserve">14,9,17,4,31,13,35</t>
  </si>
  <si>
    <t xml:space="preserve">40,4,9,35,7,17,30,25</t>
  </si>
  <si>
    <t xml:space="preserve">30,17,31,9,13,29,3</t>
  </si>
  <si>
    <t xml:space="preserve">17,2,32,3,28,26</t>
  </si>
  <si>
    <t xml:space="preserve">35,40,3,26,17,4,13</t>
  </si>
  <si>
    <t xml:space="preserve">35,3,5,24,26,4,13,40</t>
  </si>
  <si>
    <t xml:space="preserve">14,28,8,13,12,26,2</t>
  </si>
  <si>
    <t xml:space="preserve">40,9,35,25,14,3,24</t>
  </si>
  <si>
    <t xml:space="preserve">35,17,10,19,14,4,13</t>
  </si>
  <si>
    <t xml:space="preserve">35,14,17,4,13</t>
  </si>
  <si>
    <t xml:space="preserve">40,35,3,4,10,28,26</t>
  </si>
  <si>
    <t xml:space="preserve">35,40,24,3,9,4,17,25,18</t>
  </si>
  <si>
    <t xml:space="preserve">40,35,13,3,17,24,31,5</t>
  </si>
  <si>
    <t xml:space="preserve">35,40,9,31,24,30,3</t>
  </si>
  <si>
    <t xml:space="preserve">35,19,24,28,4,13,1</t>
  </si>
  <si>
    <t xml:space="preserve">1,19,17,13,31,40</t>
  </si>
  <si>
    <t xml:space="preserve">40,31,24,35,3,28,9,1</t>
  </si>
  <si>
    <t xml:space="preserve">19,3,10,5,28,40,4</t>
  </si>
  <si>
    <t xml:space="preserve">35,31,40,1,34,24,7</t>
  </si>
  <si>
    <t xml:space="preserve">37,32,28,26,10,7</t>
  </si>
  <si>
    <t xml:space="preserve">17,3,2,5,9,4,31</t>
  </si>
  <si>
    <t xml:space="preserve">2,40,15,19,4,18,5,24</t>
  </si>
  <si>
    <t xml:space="preserve">35,40,3,10,25,31,37,30</t>
  </si>
  <si>
    <t xml:space="preserve">40,35,1,4,17,15,3,24</t>
  </si>
  <si>
    <t xml:space="preserve">6,12,28,13,7,14,24</t>
  </si>
  <si>
    <t xml:space="preserve">17,35,40,2,25,24,1,10</t>
  </si>
  <si>
    <t xml:space="preserve">40,35,5,17,14,3,24,31</t>
  </si>
  <si>
    <t xml:space="preserve">1,2,35,13,24,25</t>
  </si>
  <si>
    <t xml:space="preserve">13,28,2,22,24,17,1</t>
  </si>
  <si>
    <t xml:space="preserve">40,31,3,24,4,11</t>
  </si>
  <si>
    <t xml:space="preserve">7,17,22,3,24,4,19</t>
  </si>
  <si>
    <t xml:space="preserve">31,35,40,9,15,13,3,6</t>
  </si>
  <si>
    <t xml:space="preserve">35,10,3,40,14,4,37,24</t>
  </si>
  <si>
    <t xml:space="preserve">3,6,23,2,29,28,25</t>
  </si>
  <si>
    <t xml:space="preserve">15,2,35,10,17,13</t>
  </si>
  <si>
    <t xml:space="preserve">15,35,17,10,14,29,5,3,25</t>
  </si>
  <si>
    <t xml:space="preserve">2,5,15,13,18,17</t>
  </si>
  <si>
    <t xml:space="preserve">15,25,1,3,10,28,7</t>
  </si>
  <si>
    <t xml:space="preserve">2,40,32,28,13,15,18</t>
  </si>
  <si>
    <t xml:space="preserve">3,37,28,25,32,23</t>
  </si>
  <si>
    <t xml:space="preserve">Äquipotentialprinzip</t>
  </si>
  <si>
    <t xml:space="preserve">40,35,31,5,2,39,17,24,8</t>
  </si>
  <si>
    <t xml:space="preserve">40,35,31,17,39,1,24,4</t>
  </si>
  <si>
    <t xml:space="preserve">17,1,35,13,15,28,4,25</t>
  </si>
  <si>
    <t xml:space="preserve">17,4,35,37,13,1,40</t>
  </si>
  <si>
    <t xml:space="preserve">31,13,35,17,4,3,2,12</t>
  </si>
  <si>
    <t xml:space="preserve">35,31,4,3,39,13,17</t>
  </si>
  <si>
    <t xml:space="preserve">24,5,39,35,10,19,28,25</t>
  </si>
  <si>
    <t xml:space="preserve">35,40,24,31,25,14,5</t>
  </si>
  <si>
    <t xml:space="preserve">1,4,35,17,7,3,18,21</t>
  </si>
  <si>
    <t xml:space="preserve">5,24,31,40,35,15,39,13</t>
  </si>
  <si>
    <t xml:space="preserve">2,7,10,35,24,5</t>
  </si>
  <si>
    <t xml:space="preserve">10,13,5,35,4,19,7,40</t>
  </si>
  <si>
    <t xml:space="preserve">10,40,3,39,23,6,13,7</t>
  </si>
  <si>
    <t xml:space="preserve">40,28,25,13,24,10,33,15,18</t>
  </si>
  <si>
    <t xml:space="preserve">24,21,10,16,1,35,17</t>
  </si>
  <si>
    <t xml:space="preserve">13,35,19,18,9,24</t>
  </si>
  <si>
    <t xml:space="preserve">35,18,9,24,13,1</t>
  </si>
  <si>
    <t xml:space="preserve">35,31,18,24,13,27,32</t>
  </si>
  <si>
    <t xml:space="preserve">40,3,35,31,18,2,13,4</t>
  </si>
  <si>
    <t xml:space="preserve">40,17,9,35,14,4,5</t>
  </si>
  <si>
    <t xml:space="preserve">35,40,3,1,24,18</t>
  </si>
  <si>
    <t xml:space="preserve">35,3,13,32,24,7,1,19</t>
  </si>
  <si>
    <t xml:space="preserve">10,3,12,24,5,15</t>
  </si>
  <si>
    <t xml:space="preserve">40,2,14,3,7,19,30,31,12</t>
  </si>
  <si>
    <t xml:space="preserve">35,24,10,16,5,29,28</t>
  </si>
  <si>
    <t xml:space="preserve">5,24,3,15,4,17,13</t>
  </si>
  <si>
    <t xml:space="preserve">24,10,32,7,31,3,40</t>
  </si>
  <si>
    <t xml:space="preserve">18,31,24,9,7,14</t>
  </si>
  <si>
    <t xml:space="preserve">1,15,24,21,12,35</t>
  </si>
  <si>
    <t xml:space="preserve">24,35,40,1,39,13,30,27</t>
  </si>
  <si>
    <t xml:space="preserve">40,35,15,30,31,29,2,10</t>
  </si>
  <si>
    <t xml:space="preserve">1,6,13,2,10,28</t>
  </si>
  <si>
    <t xml:space="preserve">24,3,35,4,19,13,25,17</t>
  </si>
  <si>
    <t xml:space="preserve">35,40,24,31,3,10,5</t>
  </si>
  <si>
    <t xml:space="preserve">2,10,24,16,35,15,17,13</t>
  </si>
  <si>
    <t xml:space="preserve">2,24,28,17,10,13</t>
  </si>
  <si>
    <t xml:space="preserve">35,2,10,24,5,18,31</t>
  </si>
  <si>
    <t xml:space="preserve">17,4,3,31,22,13,5</t>
  </si>
  <si>
    <t xml:space="preserve">40,35,31,17,11,24,18,30</t>
  </si>
  <si>
    <t xml:space="preserve">25,35,24,3,15,5,19</t>
  </si>
  <si>
    <t xml:space="preserve">3,25,2,12,5,15,30</t>
  </si>
  <si>
    <t xml:space="preserve">24,1,10,16,8,14</t>
  </si>
  <si>
    <t xml:space="preserve">5,24,40,3,35,12,13</t>
  </si>
  <si>
    <t xml:space="preserve">13,31,2,10,40,35,26,17</t>
  </si>
  <si>
    <t xml:space="preserve">25,10,24,4,28,5,37</t>
  </si>
  <si>
    <t xml:space="preserve">7,24,17,35,9,37,32,28</t>
  </si>
  <si>
    <t xml:space="preserve">25,13,37,4,17,26,24</t>
  </si>
  <si>
    <t xml:space="preserve">Funktionsumkehr</t>
  </si>
  <si>
    <t xml:space="preserve">36,31,6,35,38,30,22,19,40</t>
  </si>
  <si>
    <t xml:space="preserve">31,35,3,32,36,22,40,4,17</t>
  </si>
  <si>
    <t xml:space="preserve">15,19,9,3,35,31,4,1</t>
  </si>
  <si>
    <t xml:space="preserve">19,3,15,31,9,35,4,1</t>
  </si>
  <si>
    <t xml:space="preserve">3,35,40,19,18,17,39,31</t>
  </si>
  <si>
    <t xml:space="preserve">35,3,31,40,19,38,30,24,17</t>
  </si>
  <si>
    <t xml:space="preserve">35,40,31,4,18,39,2,34</t>
  </si>
  <si>
    <t xml:space="preserve">35,40,31,3,4,6,30</t>
  </si>
  <si>
    <t xml:space="preserve">14,19,32,39,3,22,31</t>
  </si>
  <si>
    <t xml:space="preserve">30,31,3,35,39,17,15,19</t>
  </si>
  <si>
    <t xml:space="preserve">5,37,7,10,26,19,32</t>
  </si>
  <si>
    <t xml:space="preserve">19,15,13,39,1,18,30,9,3</t>
  </si>
  <si>
    <t xml:space="preserve">19,36,40,3,9,1,13,2,35</t>
  </si>
  <si>
    <t xml:space="preserve">28,14,36,2,30,19,13,3</t>
  </si>
  <si>
    <t xml:space="preserve">2,35,3,19,21,24,10</t>
  </si>
  <si>
    <t xml:space="preserve">19,15,3,35,21,36,1,24</t>
  </si>
  <si>
    <t xml:space="preserve">35,3,19,32,36,5,9</t>
  </si>
  <si>
    <t xml:space="preserve">31,3,2,17,25,35,1,14</t>
  </si>
  <si>
    <t xml:space="preserve">35,19,39,2,15,3,26</t>
  </si>
  <si>
    <t xml:space="preserve">2,9,5,35,30,31,40,9,3</t>
  </si>
  <si>
    <t xml:space="preserve">24,35,32,3,36,33,12,15</t>
  </si>
  <si>
    <t xml:space="preserve">35,19,32,5,40,4,14,3</t>
  </si>
  <si>
    <t xml:space="preserve">3,24,10,15,19,13,4</t>
  </si>
  <si>
    <t xml:space="preserve">29,21,3,36,31,34,13,37</t>
  </si>
  <si>
    <t xml:space="preserve">19,9,35,3,21,28,37</t>
  </si>
  <si>
    <t xml:space="preserve">35,21,24,38,3,5,19</t>
  </si>
  <si>
    <t xml:space="preserve">35,9,24,7,32,26</t>
  </si>
  <si>
    <t xml:space="preserve">35,13,39,18,24,31</t>
  </si>
  <si>
    <t xml:space="preserve">3,19,15,2,18,35</t>
  </si>
  <si>
    <t xml:space="preserve">35,2,25,22,10,3,12,20</t>
  </si>
  <si>
    <t xml:space="preserve">2,3,19,15,4,12,35</t>
  </si>
  <si>
    <t xml:space="preserve">24,2,13,30,15,17,3</t>
  </si>
  <si>
    <t xml:space="preserve">28,24,26,2,23,15,35,3</t>
  </si>
  <si>
    <t xml:space="preserve">35,40,3,12,20,33,1,4</t>
  </si>
  <si>
    <t xml:space="preserve">10,3,4,37,28,26,27,2</t>
  </si>
  <si>
    <t xml:space="preserve">24,1,3,35,28</t>
  </si>
  <si>
    <t xml:space="preserve">24,9,39,28,2,7</t>
  </si>
  <si>
    <t xml:space="preserve">31,3,15,2,35,36,40,19</t>
  </si>
  <si>
    <t xml:space="preserve">35,33,2,18,22,27,30,12</t>
  </si>
  <si>
    <t xml:space="preserve">35,3,26,30,16,21,37,5</t>
  </si>
  <si>
    <t xml:space="preserve">23,25,3,12,24</t>
  </si>
  <si>
    <t xml:space="preserve">2,26,3,19,16,12</t>
  </si>
  <si>
    <t xml:space="preserve">3,15,35,28,40,12,1,24</t>
  </si>
  <si>
    <t xml:space="preserve">2,3,19,35,16,17,5</t>
  </si>
  <si>
    <t xml:space="preserve">35,25,1,19,32,40,4</t>
  </si>
  <si>
    <t xml:space="preserve">32,28,35,3,26,7,31,37</t>
  </si>
  <si>
    <t xml:space="preserve">32,19,28,26,35,37,10,3</t>
  </si>
  <si>
    <t xml:space="preserve">Krümmung</t>
  </si>
  <si>
    <t xml:space="preserve">Beleuchtungsintensität</t>
  </si>
  <si>
    <t xml:space="preserve">19,1,24,32,31,39,35</t>
  </si>
  <si>
    <t xml:space="preserve">35,32,2,19,31,1,5,30</t>
  </si>
  <si>
    <t xml:space="preserve">14,19,32,35,17,24,1</t>
  </si>
  <si>
    <t xml:space="preserve">14,17,32,35,24,19,1</t>
  </si>
  <si>
    <t xml:space="preserve">14,17,24,35,19,32,26,4,1</t>
  </si>
  <si>
    <t xml:space="preserve">14,17,4,35,24,32,19,1,26</t>
  </si>
  <si>
    <t xml:space="preserve">14,24,13,10,19,2,32,35,4</t>
  </si>
  <si>
    <t xml:space="preserve">14,13,24,35,10,19,2,32</t>
  </si>
  <si>
    <t xml:space="preserve">3,30,13,24,32,35,5,14,1</t>
  </si>
  <si>
    <t xml:space="preserve">1,19,35,14,24,28,3</t>
  </si>
  <si>
    <t xml:space="preserve">2,25,19,32,7,6,3</t>
  </si>
  <si>
    <t xml:space="preserve">19,2,6,35,28,4,25</t>
  </si>
  <si>
    <t xml:space="preserve">2,6,10,35,28,4</t>
  </si>
  <si>
    <t xml:space="preserve">19,10,13,28,35,4,5</t>
  </si>
  <si>
    <t xml:space="preserve">10,19,6,26,4,3,36</t>
  </si>
  <si>
    <t xml:space="preserve">19,10,3,24,15,17</t>
  </si>
  <si>
    <t xml:space="preserve">19,10,24,3,5,26</t>
  </si>
  <si>
    <t xml:space="preserve">35,25,19,17,14,28,2,4</t>
  </si>
  <si>
    <t xml:space="preserve">30,35,12,9,40,14,28</t>
  </si>
  <si>
    <t xml:space="preserve">35,19,12,28,9,40,14</t>
  </si>
  <si>
    <t xml:space="preserve">28,32,35,3,27,40</t>
  </si>
  <si>
    <t xml:space="preserve">19,35,32,1,40,28,4,5</t>
  </si>
  <si>
    <t xml:space="preserve">35,13,1,19,24,6</t>
  </si>
  <si>
    <t xml:space="preserve">13,1,5,35,10,28</t>
  </si>
  <si>
    <t xml:space="preserve">19,1,26,35,17,4</t>
  </si>
  <si>
    <t xml:space="preserve">19,1,35,24,13,6,16,14</t>
  </si>
  <si>
    <t xml:space="preserve">32,13,4,1,14,6,25</t>
  </si>
  <si>
    <t xml:space="preserve">35,28,39,2,9</t>
  </si>
  <si>
    <t xml:space="preserve">35,19,40,2,15,24</t>
  </si>
  <si>
    <t xml:space="preserve">35,32,19,3,39,40,13,37,17</t>
  </si>
  <si>
    <t xml:space="preserve">15,35,4,40,3,32,23,6,1</t>
  </si>
  <si>
    <t xml:space="preserve">32,35,1,13,6,10</t>
  </si>
  <si>
    <t xml:space="preserve">28,4,35,24,19,12,5,26</t>
  </si>
  <si>
    <t xml:space="preserve">35,1,4,32,17,28,5</t>
  </si>
  <si>
    <t xml:space="preserve">17,13,1,15,10,27</t>
  </si>
  <si>
    <t xml:space="preserve">28,5,23,13,2,3</t>
  </si>
  <si>
    <t xml:space="preserve">35,3,1,24,11,32</t>
  </si>
  <si>
    <t xml:space="preserve">32,3,5,10,22,26,24</t>
  </si>
  <si>
    <t xml:space="preserve">28,12,6,4,13,1,39,25,33</t>
  </si>
  <si>
    <t xml:space="preserve">35,28,20,33,16,26</t>
  </si>
  <si>
    <t xml:space="preserve">3,35,32,39,37,24</t>
  </si>
  <si>
    <t xml:space="preserve">10,2,26,13,24</t>
  </si>
  <si>
    <t xml:space="preserve">2,3,15,5,28,37</t>
  </si>
  <si>
    <t xml:space="preserve">5,15,13,6,25,17,4</t>
  </si>
  <si>
    <t xml:space="preserve">15,3,37,4,5</t>
  </si>
  <si>
    <t xml:space="preserve">32,15,1,9,37</t>
  </si>
  <si>
    <t xml:space="preserve">32,10,37,4,3,15</t>
  </si>
  <si>
    <t xml:space="preserve">Anpassung</t>
  </si>
  <si>
    <t xml:space="preserve">3,30,31,8,40,1,7,35</t>
  </si>
  <si>
    <t xml:space="preserve">31,3,35,40,7,30,1</t>
  </si>
  <si>
    <t xml:space="preserve">17,3,4,15,14,30,35</t>
  </si>
  <si>
    <t xml:space="preserve">17,4,13,14,7,5</t>
  </si>
  <si>
    <t xml:space="preserve">15,30,17,3,4,35,14</t>
  </si>
  <si>
    <t xml:space="preserve">14,17,4,3,7,28,26</t>
  </si>
  <si>
    <t xml:space="preserve">15,19,14,4,3,13</t>
  </si>
  <si>
    <t xml:space="preserve">28,4,37,35,13,12</t>
  </si>
  <si>
    <t xml:space="preserve">4,14,3,30,19,31,17</t>
  </si>
  <si>
    <t xml:space="preserve">31,3,30,19,18,4,1</t>
  </si>
  <si>
    <t xml:space="preserve">2,37,3,17,4,13,19</t>
  </si>
  <si>
    <t xml:space="preserve">10,4,3,18,28,9,36,1</t>
  </si>
  <si>
    <t xml:space="preserve">35,24,28,10,3,30,18</t>
  </si>
  <si>
    <t xml:space="preserve">3,4,15,30,29,28,13</t>
  </si>
  <si>
    <t xml:space="preserve">35,40,17,13,3,9,19,7</t>
  </si>
  <si>
    <t xml:space="preserve">2,4,15,3,19,35,17</t>
  </si>
  <si>
    <t xml:space="preserve">3,35,19,15,17,14,4</t>
  </si>
  <si>
    <t xml:space="preserve">35,3,15,19,17,4,38</t>
  </si>
  <si>
    <t xml:space="preserve">3,17,35,31,19,12,40,15,9</t>
  </si>
  <si>
    <t xml:space="preserve">35,40,3,4,19,12,15,9</t>
  </si>
  <si>
    <t xml:space="preserve">35,2,19,30,9,17,38,15,3</t>
  </si>
  <si>
    <t xml:space="preserve">19,35,3,31,28,21,37,24</t>
  </si>
  <si>
    <t xml:space="preserve">19,3,35,28,32,5,31,17</t>
  </si>
  <si>
    <t xml:space="preserve">4,12,17,34,2,24,30,3</t>
  </si>
  <si>
    <t xml:space="preserve">3,14,28,15,24,12,1</t>
  </si>
  <si>
    <t xml:space="preserve">3,4,31,19,15,28,2,38</t>
  </si>
  <si>
    <t xml:space="preserve">3,4,19,15,32,17,13,31</t>
  </si>
  <si>
    <t xml:space="preserve">14,9,3,4,1,2,15</t>
  </si>
  <si>
    <t xml:space="preserve">35,24,18,28,22,13,4</t>
  </si>
  <si>
    <t xml:space="preserve">19,15,4,33,3,37,30,39</t>
  </si>
  <si>
    <t xml:space="preserve">15,19,3,28,4,30,16</t>
  </si>
  <si>
    <t xml:space="preserve">1,4,14,7,2,24</t>
  </si>
  <si>
    <t xml:space="preserve">25,10,1,13,3,19</t>
  </si>
  <si>
    <t xml:space="preserve">35,30,40,27,15,28,1</t>
  </si>
  <si>
    <t xml:space="preserve">2,27,17,1,16,4</t>
  </si>
  <si>
    <t xml:space="preserve">28,2,1,24,25,7,23</t>
  </si>
  <si>
    <t xml:space="preserve">31,30,2,24,23,35</t>
  </si>
  <si>
    <t xml:space="preserve">22,2,32,3,4</t>
  </si>
  <si>
    <t xml:space="preserve">35,13,18,31,33,17,32,12</t>
  </si>
  <si>
    <t xml:space="preserve">3,35,1,25,28,29,2</t>
  </si>
  <si>
    <t xml:space="preserve">3,2,15,28,4,37,24</t>
  </si>
  <si>
    <t xml:space="preserve">2,25,19,3,15</t>
  </si>
  <si>
    <t xml:space="preserve">1,3,15,4,2,25</t>
  </si>
  <si>
    <t xml:space="preserve">2,15,19,28,35,30,4,17</t>
  </si>
  <si>
    <t xml:space="preserve">25,1,37,4,10</t>
  </si>
  <si>
    <t xml:space="preserve">32,4,18,28,2,3</t>
  </si>
  <si>
    <t xml:space="preserve">37,4,28,32,18,3</t>
  </si>
  <si>
    <t xml:space="preserve">Partielle oder überschüssige Wirkung</t>
  </si>
  <si>
    <t xml:space="preserve">28,35,40,8,6,31,17,4</t>
  </si>
  <si>
    <t xml:space="preserve">35,4,31,6,13,2,40</t>
  </si>
  <si>
    <t xml:space="preserve">14,12,10,24,17,4</t>
  </si>
  <si>
    <t xml:space="preserve">17,28,24,10,4,3</t>
  </si>
  <si>
    <t xml:space="preserve">10,17,30,12,5,31,2,35</t>
  </si>
  <si>
    <t xml:space="preserve">18,10,5,30,4,13,17,34,24</t>
  </si>
  <si>
    <t xml:space="preserve">30,1,29,36,12,13,3,4</t>
  </si>
  <si>
    <t xml:space="preserve">3,18,30,39,30,9,12,13</t>
  </si>
  <si>
    <t xml:space="preserve">35,5,29,3,28,30,7,36</t>
  </si>
  <si>
    <t xml:space="preserve">24,3,10,6,35,12</t>
  </si>
  <si>
    <t xml:space="preserve">28,24,10,1,37,25,4</t>
  </si>
  <si>
    <t xml:space="preserve">3,15,19,28,18,35,17</t>
  </si>
  <si>
    <t xml:space="preserve">24,15,18,38,17,35,28</t>
  </si>
  <si>
    <t xml:space="preserve">28,19,13,25,10,38,3,24</t>
  </si>
  <si>
    <t xml:space="preserve">14,15,9,18,40,35,17,4</t>
  </si>
  <si>
    <t xml:space="preserve">18,35,5,3,19,12,28</t>
  </si>
  <si>
    <t xml:space="preserve">12,18,28,35,30,24,31,19</t>
  </si>
  <si>
    <t xml:space="preserve">28,18,38,25,13,3</t>
  </si>
  <si>
    <t xml:space="preserve">3,37,10,1,17,36,9,12</t>
  </si>
  <si>
    <t xml:space="preserve">35,28,3,40,17,31,4,34</t>
  </si>
  <si>
    <t xml:space="preserve">1,30,19,24,29,36,18</t>
  </si>
  <si>
    <t xml:space="preserve">36,37,21,39,31,24,2</t>
  </si>
  <si>
    <t xml:space="preserve">2,13,35,28,6,1,24</t>
  </si>
  <si>
    <t xml:space="preserve">28,10,3,13,4,1,18,15</t>
  </si>
  <si>
    <t xml:space="preserve">35,15,2,18,28,10,24,36</t>
  </si>
  <si>
    <t xml:space="preserve">19,38,35,27,34,36,5,4</t>
  </si>
  <si>
    <t xml:space="preserve">32,40,1,10,3</t>
  </si>
  <si>
    <t xml:space="preserve">35,17,7,2,28,4</t>
  </si>
  <si>
    <t xml:space="preserve">13,2,24,35,28,21</t>
  </si>
  <si>
    <t xml:space="preserve">3,1,15,14,29,13,12,9</t>
  </si>
  <si>
    <t xml:space="preserve">2,15,28,27,12,15,3</t>
  </si>
  <si>
    <t xml:space="preserve">34,2,33,24,13,5,15</t>
  </si>
  <si>
    <t xml:space="preserve">3,15,32,2,1,14,24,34</t>
  </si>
  <si>
    <t xml:space="preserve">10,12,35,24,17,36,40,8</t>
  </si>
  <si>
    <t xml:space="preserve">2,14,27,35,4,34,24</t>
  </si>
  <si>
    <t xml:space="preserve">2,17,12,28,7,14</t>
  </si>
  <si>
    <t xml:space="preserve">24,19,31,5,10,30</t>
  </si>
  <si>
    <t xml:space="preserve">13,28,17,4,35,7</t>
  </si>
  <si>
    <t xml:space="preserve">35,30,40,24,1,22,12,32,28</t>
  </si>
  <si>
    <t xml:space="preserve">15,5,34,33,10,17,13</t>
  </si>
  <si>
    <t xml:space="preserve">24,31,10,3,17,35</t>
  </si>
  <si>
    <t xml:space="preserve">10,35,18,25,5,29</t>
  </si>
  <si>
    <t xml:space="preserve">5,25,28,24,10,35,19,3,34</t>
  </si>
  <si>
    <t xml:space="preserve">28,5,2,10,24,4,31</t>
  </si>
  <si>
    <t xml:space="preserve">3,25,14,34,10,37</t>
  </si>
  <si>
    <t xml:space="preserve">28,24,3,17,10,35,13,33,18</t>
  </si>
  <si>
    <t xml:space="preserve">24,10,14,3,31,35,4</t>
  </si>
  <si>
    <t xml:space="preserve">Höhere Dimension</t>
  </si>
  <si>
    <t xml:space="preserve">10,20,8,14,35,37,5</t>
  </si>
  <si>
    <t xml:space="preserve">10,20,26,35,5</t>
  </si>
  <si>
    <t xml:space="preserve">17,13,15,29,14,7,2</t>
  </si>
  <si>
    <t xml:space="preserve">5,14,17,24,13,30,2</t>
  </si>
  <si>
    <t xml:space="preserve">17,15,16,5,26,4,13</t>
  </si>
  <si>
    <t xml:space="preserve">35,17,4,10,5,12,16</t>
  </si>
  <si>
    <t xml:space="preserve">20,10,5,18,34,2</t>
  </si>
  <si>
    <t xml:space="preserve">35,5,10,12,16,3,7</t>
  </si>
  <si>
    <t xml:space="preserve">7,28,17,4,10,34,9,37</t>
  </si>
  <si>
    <t xml:space="preserve">35,10,5,18,16,19,38,4</t>
  </si>
  <si>
    <t xml:space="preserve">2,3,10,25,5,7</t>
  </si>
  <si>
    <t xml:space="preserve">3,17,28,18,15,10</t>
  </si>
  <si>
    <t xml:space="preserve">5,28,24,7,16</t>
  </si>
  <si>
    <t xml:space="preserve">28,26,3,10,4,5</t>
  </si>
  <si>
    <t xml:space="preserve">5,17,10,37,36,3</t>
  </si>
  <si>
    <t xml:space="preserve">18,35,38,3,4,19</t>
  </si>
  <si>
    <t xml:space="preserve">35,10,1,19,38,3,4</t>
  </si>
  <si>
    <t xml:space="preserve">35,6,10,1,20,12,24</t>
  </si>
  <si>
    <t xml:space="preserve">35,17,4,20,36,37,9</t>
  </si>
  <si>
    <t xml:space="preserve">35,24,3,9,28,18,4,29</t>
  </si>
  <si>
    <t xml:space="preserve">24,5,3,35,17,31,28</t>
  </si>
  <si>
    <t xml:space="preserve">21,18,24,35,31,3</t>
  </si>
  <si>
    <t xml:space="preserve">26,1,32,17,13,19,2</t>
  </si>
  <si>
    <t xml:space="preserve">5,19,3,20,16,34</t>
  </si>
  <si>
    <t xml:space="preserve">24,10,35,18,4,12,17,13</t>
  </si>
  <si>
    <t xml:space="preserve">5,18,35,19,1,4,13</t>
  </si>
  <si>
    <t xml:space="preserve">24,28,32,2,26,5</t>
  </si>
  <si>
    <t xml:space="preserve">9,31,14,18,19,4,24</t>
  </si>
  <si>
    <t xml:space="preserve">1,35,21,18,5</t>
  </si>
  <si>
    <t xml:space="preserve">35,24,14,39,22,18,6</t>
  </si>
  <si>
    <t xml:space="preserve">28,35,40,13,17,4</t>
  </si>
  <si>
    <t xml:space="preserve">17,10,28,2,24,1</t>
  </si>
  <si>
    <t xml:space="preserve">10,25,4,26,28,1</t>
  </si>
  <si>
    <t xml:space="preserve">35,10,3,14,4,30,28</t>
  </si>
  <si>
    <t xml:space="preserve">17,24,32,1,10,27</t>
  </si>
  <si>
    <t xml:space="preserve">2,28,26,9,25,13,24,15</t>
  </si>
  <si>
    <t xml:space="preserve">25,12,13,11,24,31</t>
  </si>
  <si>
    <t xml:space="preserve">17,10,4,28,32,7,19</t>
  </si>
  <si>
    <t xml:space="preserve">35,18,1,34,3,30,31,33</t>
  </si>
  <si>
    <t xml:space="preserve">10,35,4,19,34,28,3</t>
  </si>
  <si>
    <t xml:space="preserve">26,25,24,18,28,4,13</t>
  </si>
  <si>
    <t xml:space="preserve">10,2,24,30,5,25,12</t>
  </si>
  <si>
    <t xml:space="preserve">10,3,24,5,4,13</t>
  </si>
  <si>
    <t xml:space="preserve">28,21,6,10,2,12</t>
  </si>
  <si>
    <t xml:space="preserve">10,37,4,5,2,3,19</t>
  </si>
  <si>
    <t xml:space="preserve">37,10,18,32,28,4</t>
  </si>
  <si>
    <t xml:space="preserve">25,26,32,28,24,34,4</t>
  </si>
  <si>
    <t xml:space="preserve">Schwingungen</t>
  </si>
  <si>
    <t xml:space="preserve">8,15,28,19,6,31,14</t>
  </si>
  <si>
    <t xml:space="preserve">19,7,6,31,18,14</t>
  </si>
  <si>
    <t xml:space="preserve">3,4,13,17,7,28,6</t>
  </si>
  <si>
    <t xml:space="preserve">4,13,7,25,17,38,6</t>
  </si>
  <si>
    <t xml:space="preserve">15,17,30,28,26,4,12</t>
  </si>
  <si>
    <t xml:space="preserve">17,14,7,38,18,30,12,25</t>
  </si>
  <si>
    <t xml:space="preserve">7,5,28,4,18,19,3</t>
  </si>
  <si>
    <t xml:space="preserve">7,5,3,4,19,28,12</t>
  </si>
  <si>
    <t xml:space="preserve">4,3,24,19,28,13,17,5</t>
  </si>
  <si>
    <t xml:space="preserve">7,25,15,18,3,12,23</t>
  </si>
  <si>
    <t xml:space="preserve">2,10,24,25,1,7</t>
  </si>
  <si>
    <t xml:space="preserve">21,35,34,14,3,19,18</t>
  </si>
  <si>
    <t xml:space="preserve">17,31,35,34,14,3,19</t>
  </si>
  <si>
    <t xml:space="preserve">3,35,14,28,10,13</t>
  </si>
  <si>
    <t xml:space="preserve">19,17,2,36,4,38</t>
  </si>
  <si>
    <t xml:space="preserve">35,19,3,4,37,2</t>
  </si>
  <si>
    <t xml:space="preserve">35,19,4,2,12,34,3</t>
  </si>
  <si>
    <t xml:space="preserve">19,4,37,34,38,21</t>
  </si>
  <si>
    <t xml:space="preserve">2,25,4,13,12,19</t>
  </si>
  <si>
    <t xml:space="preserve">28,35,17,26,31,40,9,37</t>
  </si>
  <si>
    <t xml:space="preserve">10,6,14,12,2,19,28</t>
  </si>
  <si>
    <t xml:space="preserve">35,7,31,34,19,21,1</t>
  </si>
  <si>
    <t xml:space="preserve">19,24,5,13,35,32,15</t>
  </si>
  <si>
    <t xml:space="preserve">1,13,19,4,12,37,16</t>
  </si>
  <si>
    <t xml:space="preserve">28,35,37,2,27,3,4</t>
  </si>
  <si>
    <t xml:space="preserve">10,18,7,4,32,15</t>
  </si>
  <si>
    <t xml:space="preserve">19,10,4,37,1,7</t>
  </si>
  <si>
    <t xml:space="preserve">28,35,14,25,2,9</t>
  </si>
  <si>
    <t xml:space="preserve">2,1,21,19,3,35</t>
  </si>
  <si>
    <t xml:space="preserve">40,35,21,24,2,28,4,5</t>
  </si>
  <si>
    <t xml:space="preserve">15,5,14,13,31,35,3</t>
  </si>
  <si>
    <t xml:space="preserve">21,35,12,13,17,4,24</t>
  </si>
  <si>
    <t xml:space="preserve">13,1,35,25,10,32,4</t>
  </si>
  <si>
    <t xml:space="preserve">35,40,17,11,10,39,37,36</t>
  </si>
  <si>
    <t xml:space="preserve">1,19,30,2,29,4,13</t>
  </si>
  <si>
    <t xml:space="preserve">28,3,2,26,24,1</t>
  </si>
  <si>
    <t xml:space="preserve">19,4,35,31,1,16,13</t>
  </si>
  <si>
    <t xml:space="preserve">4,7,28,17,3,13</t>
  </si>
  <si>
    <t xml:space="preserve">21,35,33,15,19,6,30,37,36</t>
  </si>
  <si>
    <t xml:space="preserve">10,14,35,1,29,30</t>
  </si>
  <si>
    <t xml:space="preserve">30,37,9,25,3,35,29</t>
  </si>
  <si>
    <t xml:space="preserve">28,1,10,2,12</t>
  </si>
  <si>
    <t xml:space="preserve">3,10,35,28,29,6,2</t>
  </si>
  <si>
    <t xml:space="preserve">25,7,40,30,37,4</t>
  </si>
  <si>
    <t xml:space="preserve">25,37,4,2,16,12</t>
  </si>
  <si>
    <t xml:space="preserve">1,3,35,15,28,37,4</t>
  </si>
  <si>
    <t xml:space="preserve">3,37,24,26,32,28</t>
  </si>
  <si>
    <t xml:space="preserve">Periodische Wirkung</t>
  </si>
  <si>
    <t xml:space="preserve">Informationsverluste</t>
  </si>
  <si>
    <t xml:space="preserve">13,35,7,10,17,24</t>
  </si>
  <si>
    <t xml:space="preserve">13,35,31,5,24,10</t>
  </si>
  <si>
    <t xml:space="preserve">28,25,10,37,1,26,16</t>
  </si>
  <si>
    <t xml:space="preserve">28,25,17,26,37,32</t>
  </si>
  <si>
    <t xml:space="preserve">28,26,17,25,30,16,1,37,7</t>
  </si>
  <si>
    <t xml:space="preserve">28,25,26,16,37,30,17,32</t>
  </si>
  <si>
    <t xml:space="preserve">28,25,17,32,7,31,1,2</t>
  </si>
  <si>
    <t xml:space="preserve">28,25,32,1,35,31,7,2</t>
  </si>
  <si>
    <t xml:space="preserve">25,14,24,3,4,32</t>
  </si>
  <si>
    <t xml:space="preserve">17,28,24,7,33,31,32</t>
  </si>
  <si>
    <t xml:space="preserve">2,7,24,3,32,5</t>
  </si>
  <si>
    <t xml:space="preserve">10,28,37,3,7,4</t>
  </si>
  <si>
    <t xml:space="preserve">10,19,28,3,4,37</t>
  </si>
  <si>
    <t xml:space="preserve">12,13,24,26,37,32</t>
  </si>
  <si>
    <t xml:space="preserve">13,17,24,37,1,36</t>
  </si>
  <si>
    <t xml:space="preserve">1,24,25,20,10,19</t>
  </si>
  <si>
    <t xml:space="preserve">10,1,24,36,25</t>
  </si>
  <si>
    <t xml:space="preserve">10,19,24,25,7,13,3,37</t>
  </si>
  <si>
    <t xml:space="preserve">24,22,25,35,7,14,31</t>
  </si>
  <si>
    <t xml:space="preserve">35,24,3,31,14,40</t>
  </si>
  <si>
    <t xml:space="preserve">35,30,10,26,24,5,40</t>
  </si>
  <si>
    <t xml:space="preserve">28,22,1,25,26,24</t>
  </si>
  <si>
    <t xml:space="preserve">19,32,24,28,3,5</t>
  </si>
  <si>
    <t xml:space="preserve">10,5,37,12,32,25</t>
  </si>
  <si>
    <t xml:space="preserve">7,17,2,3,13,25</t>
  </si>
  <si>
    <t xml:space="preserve">25,22,10,24,26,28,32,23</t>
  </si>
  <si>
    <t xml:space="preserve">24,34,19,10,7,13</t>
  </si>
  <si>
    <t xml:space="preserve">2,37,3,10,25</t>
  </si>
  <si>
    <t xml:space="preserve">7,1,13,21,35</t>
  </si>
  <si>
    <t xml:space="preserve">7,10,31,27,21,40,6</t>
  </si>
  <si>
    <t xml:space="preserve">24,5,25,9,40,35,19</t>
  </si>
  <si>
    <t xml:space="preserve">2,24,37,4,1,13</t>
  </si>
  <si>
    <t xml:space="preserve">7,1,3,10,5,13</t>
  </si>
  <si>
    <t xml:space="preserve">13,24,10,26,6,4,3,40,17</t>
  </si>
  <si>
    <t xml:space="preserve">2,10,17,13,28</t>
  </si>
  <si>
    <t xml:space="preserve">26,24,25,1,17,28</t>
  </si>
  <si>
    <t xml:space="preserve">10,28,24,7,30,4</t>
  </si>
  <si>
    <t xml:space="preserve">32,3,17,7,5</t>
  </si>
  <si>
    <t xml:space="preserve">10,24,11,3,25,22,17,7,6</t>
  </si>
  <si>
    <t xml:space="preserve">25,29,28,40,37</t>
  </si>
  <si>
    <t xml:space="preserve">25,17,37,1,32,4</t>
  </si>
  <si>
    <t xml:space="preserve">5,24,35,10,25</t>
  </si>
  <si>
    <t xml:space="preserve">5,10,13,24,25,15</t>
  </si>
  <si>
    <t xml:space="preserve">6,25,13,24,4,28</t>
  </si>
  <si>
    <t xml:space="preserve">10,6,25,2,3,19</t>
  </si>
  <si>
    <t xml:space="preserve">28,32,1,10,37,7</t>
  </si>
  <si>
    <t xml:space="preserve">37,4,32,10,7</t>
  </si>
  <si>
    <t xml:space="preserve">Kontinuität nützlicher Aktionen</t>
  </si>
  <si>
    <t xml:space="preserve">Lärm / Störung / Rauschen</t>
  </si>
  <si>
    <t xml:space="preserve">31,9,3,22,13,14,4</t>
  </si>
  <si>
    <t xml:space="preserve">31,9,14,39,4,35</t>
  </si>
  <si>
    <t xml:space="preserve">17,3,14,9,1,35,13</t>
  </si>
  <si>
    <t xml:space="preserve">3,17,14,35,9,1</t>
  </si>
  <si>
    <t xml:space="preserve">3,14,17,35,1,13,9</t>
  </si>
  <si>
    <t xml:space="preserve">17,3,9,14,1,35</t>
  </si>
  <si>
    <t xml:space="preserve">3,14,35,1,13,4,9,17</t>
  </si>
  <si>
    <t xml:space="preserve">3,9,14,4,35,1</t>
  </si>
  <si>
    <t xml:space="preserve">4,35,28,2,14,22,31,3</t>
  </si>
  <si>
    <t xml:space="preserve">31,9,14,35,4,1,10,15,39</t>
  </si>
  <si>
    <t xml:space="preserve">3,10,23,31,34,2</t>
  </si>
  <si>
    <t xml:space="preserve">10,1,35,19,4,21</t>
  </si>
  <si>
    <t xml:space="preserve">10,4,1,13,24,3,35</t>
  </si>
  <si>
    <t xml:space="preserve">3,1,14,31,39,24,4</t>
  </si>
  <si>
    <t xml:space="preserve">3,14,17,4,1,31</t>
  </si>
  <si>
    <t xml:space="preserve">19,28,4,35,14,24,23,9,3</t>
  </si>
  <si>
    <t xml:space="preserve">19,23,28,4,24,14,9,3,35</t>
  </si>
  <si>
    <t xml:space="preserve">28,23,25,24,3,13,14,35,39</t>
  </si>
  <si>
    <t xml:space="preserve">3,14,9,2,23,24,39,25</t>
  </si>
  <si>
    <t xml:space="preserve">3,35,26,40,4,28,30,10</t>
  </si>
  <si>
    <t xml:space="preserve">23,25,2,10,13,5,29,39,12</t>
  </si>
  <si>
    <t xml:space="preserve">35,12,2,3,13</t>
  </si>
  <si>
    <t xml:space="preserve">35,2,9,40,17,13</t>
  </si>
  <si>
    <t xml:space="preserve">17,15,31,3,25,4,35,28</t>
  </si>
  <si>
    <t xml:space="preserve">35,31,2,9,13,24,34</t>
  </si>
  <si>
    <t xml:space="preserve">35,28,19,25,37,15,13</t>
  </si>
  <si>
    <t xml:space="preserve">3,15,9,31,35,39,24,13</t>
  </si>
  <si>
    <t xml:space="preserve">10,23,2,3,26</t>
  </si>
  <si>
    <t xml:space="preserve">5,2,35,19,9,25,15,7</t>
  </si>
  <si>
    <t xml:space="preserve">28,2,18,29,3,9,25,31</t>
  </si>
  <si>
    <t xml:space="preserve">28,10,1,15,3,25</t>
  </si>
  <si>
    <t xml:space="preserve">2,35,9,17,28,3</t>
  </si>
  <si>
    <t xml:space="preserve">28,26,25,1,24</t>
  </si>
  <si>
    <t xml:space="preserve">35,9,13,16,5,21,3</t>
  </si>
  <si>
    <t xml:space="preserve">5,9,31,2,17,3</t>
  </si>
  <si>
    <t xml:space="preserve">28,2,24,1</t>
  </si>
  <si>
    <t xml:space="preserve">5,28,24,18,22,13</t>
  </si>
  <si>
    <t xml:space="preserve">9,7,31,14,4,2,35</t>
  </si>
  <si>
    <t xml:space="preserve">2,35,31,22,40,13,16,5,19</t>
  </si>
  <si>
    <t xml:space="preserve">35,5,6,13,21,18</t>
  </si>
  <si>
    <t xml:space="preserve">15,3,10,2,28,1</t>
  </si>
  <si>
    <t xml:space="preserve">15,28,10,1,3,13</t>
  </si>
  <si>
    <t xml:space="preserve">3,15,10,2,28</t>
  </si>
  <si>
    <t xml:space="preserve">6,13,1,24,15,25</t>
  </si>
  <si>
    <t xml:space="preserve">23,10,28,3,2,25,6,9,1</t>
  </si>
  <si>
    <t xml:space="preserve">24,3,14,30,28,37,13,39</t>
  </si>
  <si>
    <t xml:space="preserve">5,10,24,22,3,25,23</t>
  </si>
  <si>
    <t xml:space="preserve">Durcheilen und Überspringen</t>
  </si>
  <si>
    <t xml:space="preserve">28,35,20,21,19,5,18</t>
  </si>
  <si>
    <t xml:space="preserve">28,31,13,5,2,36,35</t>
  </si>
  <si>
    <t xml:space="preserve">14,18,4,19,17,36,15,13</t>
  </si>
  <si>
    <t xml:space="preserve">17,18,21,14,4,1,36,13</t>
  </si>
  <si>
    <t xml:space="preserve">4,14,19,15,18,13,3,36</t>
  </si>
  <si>
    <t xml:space="preserve">4,14,13,24,17,18,36,3</t>
  </si>
  <si>
    <t xml:space="preserve">13,15,3,19,18,4,1</t>
  </si>
  <si>
    <t xml:space="preserve">13,4,3,15,18,36,24,35</t>
  </si>
  <si>
    <t xml:space="preserve">35,36,3,31,38,15,13</t>
  </si>
  <si>
    <t xml:space="preserve">35,10,19,18,24,13,7</t>
  </si>
  <si>
    <t xml:space="preserve">10,23,37,1,13,4</t>
  </si>
  <si>
    <t xml:space="preserve">1,10,21,3,36,18,15</t>
  </si>
  <si>
    <t xml:space="preserve">1,3,10,15,18,36</t>
  </si>
  <si>
    <t xml:space="preserve">35,28,13,21,3,18,36</t>
  </si>
  <si>
    <t xml:space="preserve">10,3,15,35,28</t>
  </si>
  <si>
    <t xml:space="preserve">35,28,10,3,20,4</t>
  </si>
  <si>
    <t xml:space="preserve">35,3,20,10,28,4</t>
  </si>
  <si>
    <t xml:space="preserve">35,28,10,3,4,18,20</t>
  </si>
  <si>
    <t xml:space="preserve">10,12,9,35,15,28,17,13</t>
  </si>
  <si>
    <t xml:space="preserve">10,35,15,28,17,4,5</t>
  </si>
  <si>
    <t xml:space="preserve">15,4,19,3,1</t>
  </si>
  <si>
    <t xml:space="preserve">19,18,36,20,3,1,35</t>
  </si>
  <si>
    <t xml:space="preserve">32,24,35,2,5,19</t>
  </si>
  <si>
    <t xml:space="preserve">10,35,28,15,12,3</t>
  </si>
  <si>
    <t xml:space="preserve">10,12,18,14,13,1,3,4,35</t>
  </si>
  <si>
    <t xml:space="preserve">2,10,35,36,21,3</t>
  </si>
  <si>
    <t xml:space="preserve">10,18,13,2,21,35,3,1</t>
  </si>
  <si>
    <t xml:space="preserve">9,16,13,2,4,23</t>
  </si>
  <si>
    <t xml:space="preserve">18,35,28,14,31,16</t>
  </si>
  <si>
    <t xml:space="preserve">21,23,33,1,34,40,12,11</t>
  </si>
  <si>
    <t xml:space="preserve">18,35,10,13,15,1,4</t>
  </si>
  <si>
    <t xml:space="preserve">2,35,16,19,5,3,4</t>
  </si>
  <si>
    <t xml:space="preserve">25,10,13,26,1</t>
  </si>
  <si>
    <t xml:space="preserve">2,35,40,3,4,17,14</t>
  </si>
  <si>
    <t xml:space="preserve">18,28,1,23,27,30</t>
  </si>
  <si>
    <t xml:space="preserve">28,10,2,17,13,1</t>
  </si>
  <si>
    <t xml:space="preserve">15,28,23,35,31</t>
  </si>
  <si>
    <t xml:space="preserve">17,7,10,5,19</t>
  </si>
  <si>
    <t xml:space="preserve">2,30,37,38,40,12,22</t>
  </si>
  <si>
    <t xml:space="preserve">30,13,31,5,40,10</t>
  </si>
  <si>
    <t xml:space="preserve">2,18,15,25,12</t>
  </si>
  <si>
    <t xml:space="preserve">10,2,36,7,14</t>
  </si>
  <si>
    <t xml:space="preserve">10,2,1,19,25</t>
  </si>
  <si>
    <t xml:space="preserve">21,28,35,6,2</t>
  </si>
  <si>
    <t xml:space="preserve">10,23,37,1,4</t>
  </si>
  <si>
    <t xml:space="preserve">24,10,28,25,4,37</t>
  </si>
  <si>
    <t xml:space="preserve">28,10,37,4,3</t>
  </si>
  <si>
    <t xml:space="preserve">Zulassen des Unzulässigen</t>
  </si>
  <si>
    <t xml:space="preserve">Vom Objekt erzeugte schädliche Faktoren</t>
  </si>
  <si>
    <t xml:space="preserve">35,30,31,15,19,40,39</t>
  </si>
  <si>
    <t xml:space="preserve">40,35,31,9,1,4,30</t>
  </si>
  <si>
    <t xml:space="preserve">15,17,40,24,16,35,12,3</t>
  </si>
  <si>
    <t xml:space="preserve">17,4,35,40,14,24</t>
  </si>
  <si>
    <t xml:space="preserve">4,17,12,3,19,7,24</t>
  </si>
  <si>
    <t xml:space="preserve">3,4,1,35,5,40,17,18</t>
  </si>
  <si>
    <t xml:space="preserve">17,30,14,2,40,28,1</t>
  </si>
  <si>
    <t xml:space="preserve">4,14,30,18,35,5,24</t>
  </si>
  <si>
    <t xml:space="preserve">1,35,4,3,7,24,2</t>
  </si>
  <si>
    <t xml:space="preserve">1,3,24,35,39,5,9</t>
  </si>
  <si>
    <t xml:space="preserve">10,7,32,4,3,17</t>
  </si>
  <si>
    <t xml:space="preserve">15,3,12,21,33,35</t>
  </si>
  <si>
    <t xml:space="preserve">21,16,17,14,13,9,35</t>
  </si>
  <si>
    <t xml:space="preserve">3,35,29,31,28,4,12,17</t>
  </si>
  <si>
    <t xml:space="preserve">28,35,15,29,40,1,3,4</t>
  </si>
  <si>
    <t xml:space="preserve">35,6,12,26,4,3</t>
  </si>
  <si>
    <t xml:space="preserve">35,24,19,3,4,22</t>
  </si>
  <si>
    <t xml:space="preserve">3,35,18,4,14,13</t>
  </si>
  <si>
    <t xml:space="preserve">1,17,30,27,9,37,36</t>
  </si>
  <si>
    <t xml:space="preserve">35,40,17,5,30,2,15</t>
  </si>
  <si>
    <t xml:space="preserve">40,4,35,14,24,3,39,14</t>
  </si>
  <si>
    <t xml:space="preserve">35,24,1,7,5,13,10,3,22</t>
  </si>
  <si>
    <t xml:space="preserve">19,35,32,24,39,28,1</t>
  </si>
  <si>
    <t xml:space="preserve">35,28,25,2,15,19,3,4,13</t>
  </si>
  <si>
    <t xml:space="preserve">34,35,24,15,36,10,1,12</t>
  </si>
  <si>
    <t xml:space="preserve">10,25,9,23,5,35,1,3</t>
  </si>
  <si>
    <t xml:space="preserve">10,3,35,12,36,25,4</t>
  </si>
  <si>
    <t xml:space="preserve">4,7,10,32,21,3,37</t>
  </si>
  <si>
    <t xml:space="preserve">14,31,13,15,18,9,1,35</t>
  </si>
  <si>
    <t xml:space="preserve">1,24,21,13,15,40,12</t>
  </si>
  <si>
    <t xml:space="preserve">1,15,29,14,3,17,4,24</t>
  </si>
  <si>
    <t xml:space="preserve">5,17,1,29,23,24,3</t>
  </si>
  <si>
    <t xml:space="preserve">10,15,23,5,4,24,14,6,3</t>
  </si>
  <si>
    <t xml:space="preserve">40,24,35,4,12,17,7,39,33</t>
  </si>
  <si>
    <t xml:space="preserve">1,24,27,17,30,12,40</t>
  </si>
  <si>
    <t xml:space="preserve">28,35,1,17,12,30</t>
  </si>
  <si>
    <t xml:space="preserve">31,30,35,39,16,24,10,3,5</t>
  </si>
  <si>
    <t xml:space="preserve">2,17,28,24,40,3,26,35</t>
  </si>
  <si>
    <t xml:space="preserve">35,1,24,9,3,25,7,13,12</t>
  </si>
  <si>
    <t xml:space="preserve">28,4,40,24,7,3,1</t>
  </si>
  <si>
    <t xml:space="preserve">17,26,4,10,35,1,34</t>
  </si>
  <si>
    <t xml:space="preserve">2,10,3,17,13,30,19</t>
  </si>
  <si>
    <t xml:space="preserve">28,2,25,35,18,5,40,39</t>
  </si>
  <si>
    <t xml:space="preserve">19,31,1,35,2,17,3</t>
  </si>
  <si>
    <t xml:space="preserve">10,26,19,23,17,13,1</t>
  </si>
  <si>
    <t xml:space="preserve">1,37,32,31,40,5,24,17</t>
  </si>
  <si>
    <t xml:space="preserve">4,17,26,10,37,34,24</t>
  </si>
  <si>
    <t xml:space="preserve">Rückkopplung / Rückmeldung</t>
  </si>
  <si>
    <t xml:space="preserve">35,1,8,31,30,6,14,13,29</t>
  </si>
  <si>
    <t xml:space="preserve">35,17,12,1,31,13,16</t>
  </si>
  <si>
    <t xml:space="preserve">17,30,15,26,19,29,4,24</t>
  </si>
  <si>
    <t xml:space="preserve">17,4,26,28,1,31</t>
  </si>
  <si>
    <t xml:space="preserve">13,29,17,31,28,14,16,3</t>
  </si>
  <si>
    <t xml:space="preserve">31,6,26,24,1,3</t>
  </si>
  <si>
    <t xml:space="preserve">30,35,31,6,3,24,4</t>
  </si>
  <si>
    <t xml:space="preserve">24,15,31,16,1,3,35,7,30</t>
  </si>
  <si>
    <t xml:space="preserve">15,2,24,30,5,7,30,17,13</t>
  </si>
  <si>
    <t xml:space="preserve">30,31,35,3,15,24,25</t>
  </si>
  <si>
    <t xml:space="preserve">2,19,7,16,37,4,1</t>
  </si>
  <si>
    <t xml:space="preserve">28,29,35,13,1,24,19,12</t>
  </si>
  <si>
    <t xml:space="preserve">15,13,16,2,17,3,35</t>
  </si>
  <si>
    <t xml:space="preserve">10,14,35,24,15,28,12,29</t>
  </si>
  <si>
    <t xml:space="preserve">35,15,17,14,6,7,13</t>
  </si>
  <si>
    <t xml:space="preserve">29,13,19,35,15,16,12,1</t>
  </si>
  <si>
    <t xml:space="preserve">35,16,1,19,3,12,17</t>
  </si>
  <si>
    <t xml:space="preserve">19,1,24,35,29,28,12</t>
  </si>
  <si>
    <t xml:space="preserve">15,29,13,28,24,12,4,16</t>
  </si>
  <si>
    <t xml:space="preserve">35,40,3,17,13,24,9,19</t>
  </si>
  <si>
    <t xml:space="preserve">35,40,4,14,30,31,24,3</t>
  </si>
  <si>
    <t xml:space="preserve">35,5,19,36,2,3,15,24</t>
  </si>
  <si>
    <t xml:space="preserve">1,35,32,19,17,24,28,26</t>
  </si>
  <si>
    <t xml:space="preserve">19,3,13,25,4,37,35</t>
  </si>
  <si>
    <t xml:space="preserve">13,10,3,15,19,40,24</t>
  </si>
  <si>
    <t xml:space="preserve">28,15,29,35,4,24,6,10</t>
  </si>
  <si>
    <t xml:space="preserve">15,19,3,1,18,35,34</t>
  </si>
  <si>
    <t xml:space="preserve">7,3,10,26,37,13,24</t>
  </si>
  <si>
    <t xml:space="preserve">31,9,30,14,18,29,3</t>
  </si>
  <si>
    <t xml:space="preserve">1,19,21,10,24,5,35</t>
  </si>
  <si>
    <t xml:space="preserve">24,25,4,30,35,17,12,11</t>
  </si>
  <si>
    <t xml:space="preserve">1,5,3,28,2,25,13</t>
  </si>
  <si>
    <t xml:space="preserve">15,24,3,4,28,14,13,26,10</t>
  </si>
  <si>
    <t xml:space="preserve">35,40,24,30,10,36,17,31</t>
  </si>
  <si>
    <t xml:space="preserve">1,7,4,3,28,2,23</t>
  </si>
  <si>
    <t xml:space="preserve">28,24,18,10,4,17,1</t>
  </si>
  <si>
    <t xml:space="preserve">3,16,13,30,31,12,24,5</t>
  </si>
  <si>
    <t xml:space="preserve">29,28,2,32,3,7,24</t>
  </si>
  <si>
    <t xml:space="preserve">35,24,31,3,40,11,19,14,17</t>
  </si>
  <si>
    <t xml:space="preserve">10,13,29,31,1,28,24,5</t>
  </si>
  <si>
    <t xml:space="preserve">40,35,29,16,25,3,37,4</t>
  </si>
  <si>
    <t xml:space="preserve">6,10,28,29,15,35,2</t>
  </si>
  <si>
    <t xml:space="preserve">1,15,25,2,10,24,13,17</t>
  </si>
  <si>
    <t xml:space="preserve">6,28,29,31,35,40,17,25</t>
  </si>
  <si>
    <t xml:space="preserve">28,25,37,19,3,4,1</t>
  </si>
  <si>
    <t xml:space="preserve">25,28,32,40,37,4,29</t>
  </si>
  <si>
    <t xml:space="preserve">1,10,35,4,37,3,12,13</t>
  </si>
  <si>
    <t xml:space="preserve">Mediator, Vermittler</t>
  </si>
  <si>
    <t xml:space="preserve">1,8,15,28,26,13</t>
  </si>
  <si>
    <t xml:space="preserve">1,28,15,26,13</t>
  </si>
  <si>
    <t xml:space="preserve">24,4,28,17,3,15,2</t>
  </si>
  <si>
    <t xml:space="preserve">24,28,17,4,3,2</t>
  </si>
  <si>
    <t xml:space="preserve">28,17,13,1,4,35,2</t>
  </si>
  <si>
    <t xml:space="preserve">28,13,17,1,4,2</t>
  </si>
  <si>
    <t xml:space="preserve">2,24,28,3,26,1</t>
  </si>
  <si>
    <t xml:space="preserve">2,26,24,28,1</t>
  </si>
  <si>
    <t xml:space="preserve">13,28,7,24,17</t>
  </si>
  <si>
    <t xml:space="preserve">28,31,2,13,26,35,5,17</t>
  </si>
  <si>
    <t xml:space="preserve">10,24,3,2,37,6</t>
  </si>
  <si>
    <t xml:space="preserve">2,10,7,5,40,19</t>
  </si>
  <si>
    <t xml:space="preserve">2,10,7,5,40,3</t>
  </si>
  <si>
    <t xml:space="preserve">1,2,10,6,5,4</t>
  </si>
  <si>
    <t xml:space="preserve">6,24,29,12,3,15</t>
  </si>
  <si>
    <t xml:space="preserve">29,28,12,3,25,2,13</t>
  </si>
  <si>
    <t xml:space="preserve">2,24,25,19,5,13</t>
  </si>
  <si>
    <t xml:space="preserve">6,29,25,28,12,16,2</t>
  </si>
  <si>
    <t xml:space="preserve">24,40,3,12,9,5,13,29</t>
  </si>
  <si>
    <t xml:space="preserve">2,35,29,30,17,9,33</t>
  </si>
  <si>
    <t xml:space="preserve">35,24,33,27,3,10</t>
  </si>
  <si>
    <t xml:space="preserve">21,39,35,9,22,7</t>
  </si>
  <si>
    <t xml:space="preserve">25,28,2,6,13</t>
  </si>
  <si>
    <t xml:space="preserve">12,3,19,37,2,15</t>
  </si>
  <si>
    <t xml:space="preserve">13,3,17,22,4,9,12</t>
  </si>
  <si>
    <t xml:space="preserve">2,10,13,25,5</t>
  </si>
  <si>
    <t xml:space="preserve">2,13,9,12,5</t>
  </si>
  <si>
    <t xml:space="preserve">5,2,7,24,13,4</t>
  </si>
  <si>
    <t xml:space="preserve">2,10,24,37,25,31</t>
  </si>
  <si>
    <t xml:space="preserve">24,35,12,1,21</t>
  </si>
  <si>
    <t xml:space="preserve">3,11,32,33,24,16,30</t>
  </si>
  <si>
    <t xml:space="preserve">28,10,24,6,15,7</t>
  </si>
  <si>
    <t xml:space="preserve">10,25,2,22,28</t>
  </si>
  <si>
    <t xml:space="preserve">9,35,24,10,37,12</t>
  </si>
  <si>
    <t xml:space="preserve">28,10,17,13,9,2</t>
  </si>
  <si>
    <t xml:space="preserve">24,10,28,25,1,15</t>
  </si>
  <si>
    <t xml:space="preserve">17,25,9,3,31,19</t>
  </si>
  <si>
    <t xml:space="preserve">28,7,13,17,3</t>
  </si>
  <si>
    <t xml:space="preserve">1,4,35,12,24,3,5,28</t>
  </si>
  <si>
    <t xml:space="preserve">2,16,17,30,35,28</t>
  </si>
  <si>
    <t xml:space="preserve">2,10,9,35,13,17,4,14</t>
  </si>
  <si>
    <t xml:space="preserve">10,17,16,13,5,37</t>
  </si>
  <si>
    <t xml:space="preserve">3,17,14,10,5,25</t>
  </si>
  <si>
    <t xml:space="preserve">28,24,13,12,5,17,4</t>
  </si>
  <si>
    <t xml:space="preserve">10,2,25,5,13</t>
  </si>
  <si>
    <t xml:space="preserve">25,10,37,17,28,13</t>
  </si>
  <si>
    <t xml:space="preserve">25,37,17,4,28,12</t>
  </si>
  <si>
    <t xml:space="preserve">Selbstversorgung und -bedienung</t>
  </si>
  <si>
    <t xml:space="preserve">Bedienungsfreundlich-keit / Erlernbarkeit</t>
  </si>
  <si>
    <t xml:space="preserve">28,35,25,15,13,2,26,8</t>
  </si>
  <si>
    <t xml:space="preserve">28,35,25,26,13,1</t>
  </si>
  <si>
    <t xml:space="preserve">17,13,1,12,3,4,15</t>
  </si>
  <si>
    <t xml:space="preserve">17,1,13,4,28,3</t>
  </si>
  <si>
    <t xml:space="preserve">28,26,13,17,1,3,4,16</t>
  </si>
  <si>
    <t xml:space="preserve">28,26,17,1,4,3,16,15</t>
  </si>
  <si>
    <t xml:space="preserve">1,15,35,7,16,4,13,28</t>
  </si>
  <si>
    <t xml:space="preserve">28,31,2,4,19,39,17</t>
  </si>
  <si>
    <t xml:space="preserve">28,7,2,3,35,32,4,13</t>
  </si>
  <si>
    <t xml:space="preserve">35,1,13,17,14,4,12,2</t>
  </si>
  <si>
    <t xml:space="preserve">1,7,2,10,4,17,32</t>
  </si>
  <si>
    <t xml:space="preserve">19,25,3,35,5,12,7</t>
  </si>
  <si>
    <t xml:space="preserve">1,16,25,3,5,35,12</t>
  </si>
  <si>
    <t xml:space="preserve">13,25,5,2,24,35,28</t>
  </si>
  <si>
    <t xml:space="preserve">28,13,24,31,35,4,17</t>
  </si>
  <si>
    <t xml:space="preserve">24,1,13,28,12,19,3</t>
  </si>
  <si>
    <t xml:space="preserve">24,28,12,3,1,13,15</t>
  </si>
  <si>
    <t xml:space="preserve">10,28,35,2,1,21,36,37</t>
  </si>
  <si>
    <t xml:space="preserve">12,23,4,29,2,9,35</t>
  </si>
  <si>
    <t xml:space="preserve">19,3,12,16,1,4,7</t>
  </si>
  <si>
    <t xml:space="preserve">25,1,30,24,40,19,3</t>
  </si>
  <si>
    <t xml:space="preserve">31,13,24,26,35,19</t>
  </si>
  <si>
    <t xml:space="preserve">19,13,24,1,17,32</t>
  </si>
  <si>
    <t xml:space="preserve">25,10,2,37,19,3,32</t>
  </si>
  <si>
    <t xml:space="preserve">24,2,3,4,34,28,12</t>
  </si>
  <si>
    <t xml:space="preserve">23,10,4,32,28,5,25</t>
  </si>
  <si>
    <t xml:space="preserve">19,25,13,3,2,28,16</t>
  </si>
  <si>
    <t xml:space="preserve">10,37,1,24,32,4,26</t>
  </si>
  <si>
    <t xml:space="preserve">2,3,31,9,35,28,18,17</t>
  </si>
  <si>
    <t xml:space="preserve">25,19,2,1,20,3,37</t>
  </si>
  <si>
    <t xml:space="preserve">35,31,24,4,32,25,27,1</t>
  </si>
  <si>
    <t xml:space="preserve">10,25,1,26,5,24,4,29,28</t>
  </si>
  <si>
    <t xml:space="preserve">25,1,24,6,28,4</t>
  </si>
  <si>
    <t xml:space="preserve">40,35,2,17,12,29,23</t>
  </si>
  <si>
    <t xml:space="preserve">1,17,13,24,26,3,27,19</t>
  </si>
  <si>
    <t xml:space="preserve">3,28,5,23,24,13,25</t>
  </si>
  <si>
    <t xml:space="preserve">2,25,28,4,5,24,13,17</t>
  </si>
  <si>
    <t xml:space="preserve">28,29,22,32,3,7,24</t>
  </si>
  <si>
    <t xml:space="preserve">35,2,25,11,39,16,5,30</t>
  </si>
  <si>
    <t xml:space="preserve">29,36,24,5,12,2,10,1</t>
  </si>
  <si>
    <t xml:space="preserve">15,29,35,2,1,28,13</t>
  </si>
  <si>
    <t xml:space="preserve">10,1,12,3,34,13,28</t>
  </si>
  <si>
    <t xml:space="preserve">1,5,28,15,25,13,17</t>
  </si>
  <si>
    <t xml:space="preserve">28,29,5,12,32,17,26</t>
  </si>
  <si>
    <t xml:space="preserve">1,25,37,5,3,10</t>
  </si>
  <si>
    <t xml:space="preserve">28,5,32,16,10,9</t>
  </si>
  <si>
    <t xml:space="preserve">25,13,1,32,2,24,37</t>
  </si>
  <si>
    <t xml:space="preserve">Arbeiten mit Modellen oder Kopien</t>
  </si>
  <si>
    <t xml:space="preserve">Zuverlässigkeit / Robustheit</t>
  </si>
  <si>
    <t xml:space="preserve">40,5,3,12,8,28,35,31</t>
  </si>
  <si>
    <t xml:space="preserve">3,35,14,28,10,8,5,40</t>
  </si>
  <si>
    <t xml:space="preserve">14,17,15,4,35,9,40,3</t>
  </si>
  <si>
    <t xml:space="preserve">28,24,3,35,7,4,17</t>
  </si>
  <si>
    <t xml:space="preserve">17,14,15,10,4,3,35,7,9</t>
  </si>
  <si>
    <t xml:space="preserve">35,3,14,4,5,10,40,28,17</t>
  </si>
  <si>
    <t xml:space="preserve">14,7,15,24,35,3,10,1</t>
  </si>
  <si>
    <t xml:space="preserve">5,35,3,17,14,24,7,31,2</t>
  </si>
  <si>
    <t xml:space="preserve">35,1,40,4,30,2,17,24</t>
  </si>
  <si>
    <t xml:space="preserve">3,28,40,31,5,25,4,2</t>
  </si>
  <si>
    <t xml:space="preserve">10,24,32,3,25,5,2</t>
  </si>
  <si>
    <t xml:space="preserve">35,3,2,40,25,19,13</t>
  </si>
  <si>
    <t xml:space="preserve">35,3,12,25,2,23,5</t>
  </si>
  <si>
    <t xml:space="preserve">35,28,24,4,5,10</t>
  </si>
  <si>
    <t xml:space="preserve">8,28,3,4,1,17,14,9</t>
  </si>
  <si>
    <t xml:space="preserve">35,19,3,14,1,21,37</t>
  </si>
  <si>
    <t xml:space="preserve">35,19,3,1,13,12</t>
  </si>
  <si>
    <t xml:space="preserve">35,1,4,10,40,16,3</t>
  </si>
  <si>
    <t xml:space="preserve">35,10,19,24,40,3,5,12</t>
  </si>
  <si>
    <t xml:space="preserve">35,40,3,4,12,1,24,28</t>
  </si>
  <si>
    <t xml:space="preserve">40,35,3,1,39,24,2</t>
  </si>
  <si>
    <t xml:space="preserve">3,35,15,10,30,37,36,1</t>
  </si>
  <si>
    <t xml:space="preserve">35,37,24,13,32,3,11,5</t>
  </si>
  <si>
    <t xml:space="preserve">15,3,19,35,13,28,23</t>
  </si>
  <si>
    <t xml:space="preserve">35,15,10,12,3,4,39,2</t>
  </si>
  <si>
    <t xml:space="preserve">10,2,25,5,4,30,3</t>
  </si>
  <si>
    <t xml:space="preserve">10,19,35,23,28,3,40</t>
  </si>
  <si>
    <t xml:space="preserve">10,25,28,32,5,24</t>
  </si>
  <si>
    <t xml:space="preserve">35,13,25,4,9,28,24</t>
  </si>
  <si>
    <t xml:space="preserve">3,24,13,35,19,31,21,1</t>
  </si>
  <si>
    <t xml:space="preserve">2,26,35,40,33,7,4,19,3</t>
  </si>
  <si>
    <t xml:space="preserve">35,28,13,12,24,29,19,3,4</t>
  </si>
  <si>
    <t xml:space="preserve">1,25,10,3,5,35,13</t>
  </si>
  <si>
    <t xml:space="preserve">28,1,40,29,3,19,13</t>
  </si>
  <si>
    <t xml:space="preserve">1,11,15,27,25,7</t>
  </si>
  <si>
    <t xml:space="preserve">10,13,2,24,4,20,17</t>
  </si>
  <si>
    <t xml:space="preserve">28,35,2,11,31,3,19</t>
  </si>
  <si>
    <t xml:space="preserve">3,14,31,29,7,32</t>
  </si>
  <si>
    <t xml:space="preserve">40,2,5,12,33,25,37,19,3</t>
  </si>
  <si>
    <t xml:space="preserve">28,10,35,4,40</t>
  </si>
  <si>
    <t xml:space="preserve">1,3,13,10,4,32,39,12</t>
  </si>
  <si>
    <t xml:space="preserve">35,10,1,13,17,27,28</t>
  </si>
  <si>
    <t xml:space="preserve">35,1,10,28,29,32,33</t>
  </si>
  <si>
    <t xml:space="preserve">5,35,13,33,15,29,3,17</t>
  </si>
  <si>
    <t xml:space="preserve">1,19,25,37,10</t>
  </si>
  <si>
    <t xml:space="preserve">28,40,25,32,37,18,3</t>
  </si>
  <si>
    <t xml:space="preserve">3,10,37,32,7,4</t>
  </si>
  <si>
    <t xml:space="preserve">Billige Kurzlebigk. statt teure Langlebigk.</t>
  </si>
  <si>
    <t xml:space="preserve">8,35,13,17,28,30</t>
  </si>
  <si>
    <t xml:space="preserve">35,17,13,28,2,4,7</t>
  </si>
  <si>
    <t xml:space="preserve">17,1,28,29,13,10,3,18</t>
  </si>
  <si>
    <t xml:space="preserve">17,3,1,18,13,28,31,25</t>
  </si>
  <si>
    <t xml:space="preserve">13,15,17,1,18,32</t>
  </si>
  <si>
    <t xml:space="preserve">13,17,1,25,16,3</t>
  </si>
  <si>
    <t xml:space="preserve">15,35,30,2,13,1</t>
  </si>
  <si>
    <t xml:space="preserve">1,13,25,2,16,34,3</t>
  </si>
  <si>
    <t xml:space="preserve">4,7,13,15,17,2,1</t>
  </si>
  <si>
    <t xml:space="preserve">3,25,1,35,10,2,24</t>
  </si>
  <si>
    <t xml:space="preserve">24,9,2,37,26,1</t>
  </si>
  <si>
    <t xml:space="preserve">28,34,35,3,11,1,25</t>
  </si>
  <si>
    <t xml:space="preserve">3,35,1,11,4,16,25</t>
  </si>
  <si>
    <t xml:space="preserve">34,9,5,15,3</t>
  </si>
  <si>
    <t xml:space="preserve">1,10,7,15,13,3</t>
  </si>
  <si>
    <t xml:space="preserve">28,1,15,13,3,16</t>
  </si>
  <si>
    <t xml:space="preserve">28,13,3,1,16</t>
  </si>
  <si>
    <t xml:space="preserve">15,10,2,13,1,4</t>
  </si>
  <si>
    <t xml:space="preserve">1,3,13,25,31,4,40,9</t>
  </si>
  <si>
    <t xml:space="preserve">1,4,17,9,24,29,3,37</t>
  </si>
  <si>
    <t xml:space="preserve">2,35,7,19,24,25</t>
  </si>
  <si>
    <t xml:space="preserve">24,13,4,37,10,29,25,36</t>
  </si>
  <si>
    <t xml:space="preserve">15,13,32,1,3</t>
  </si>
  <si>
    <t xml:space="preserve">2,17,27,19,4,7</t>
  </si>
  <si>
    <t xml:space="preserve">2,35,34,4,12,24,36</t>
  </si>
  <si>
    <t xml:space="preserve">5,10,24,25,2,1,31</t>
  </si>
  <si>
    <t xml:space="preserve">19,15,13,1,12,32,3</t>
  </si>
  <si>
    <t xml:space="preserve">3,9,13,26,1,37,32</t>
  </si>
  <si>
    <t xml:space="preserve">14,17,31,3,5,35</t>
  </si>
  <si>
    <t xml:space="preserve">2,10,1,13,3,19</t>
  </si>
  <si>
    <t xml:space="preserve">35,15,39,12,28,40,33</t>
  </si>
  <si>
    <t xml:space="preserve">1,7,15,16,4,24,14</t>
  </si>
  <si>
    <t xml:space="preserve">2,10,13,4,17,24</t>
  </si>
  <si>
    <t xml:space="preserve">1,15,26,25,10</t>
  </si>
  <si>
    <t xml:space="preserve">35,10,5,7,11,30</t>
  </si>
  <si>
    <t xml:space="preserve">1,28,3,10,4</t>
  </si>
  <si>
    <t xml:space="preserve">4,10,2,22,13,28</t>
  </si>
  <si>
    <t xml:space="preserve">17,7,13,30,37</t>
  </si>
  <si>
    <t xml:space="preserve">10,3,40,16,30,21,2,39</t>
  </si>
  <si>
    <t xml:space="preserve">10,7,35,32,9,2,30</t>
  </si>
  <si>
    <t xml:space="preserve">10,35,2,1,25</t>
  </si>
  <si>
    <t xml:space="preserve">10,13,34,7,35,25,1</t>
  </si>
  <si>
    <t xml:space="preserve">2,10,1,32,25,17,13</t>
  </si>
  <si>
    <t xml:space="preserve">35,30,28,17,6,13,1</t>
  </si>
  <si>
    <t xml:space="preserve">2,35,4,10,1,17,13</t>
  </si>
  <si>
    <t xml:space="preserve">25,10,3,32,37,24</t>
  </si>
  <si>
    <t xml:space="preserve">37,10,13,25,2,24</t>
  </si>
  <si>
    <t xml:space="preserve">Ersatz mechanischer Wirkprinzipien</t>
  </si>
  <si>
    <t xml:space="preserve">28,30,3,22,13,35,26</t>
  </si>
  <si>
    <t xml:space="preserve">3,31,35,28,26,22</t>
  </si>
  <si>
    <t xml:space="preserve">17,13,28,4,30</t>
  </si>
  <si>
    <t xml:space="preserve">17,28,14,29,26</t>
  </si>
  <si>
    <t xml:space="preserve">17,28,1,4,13</t>
  </si>
  <si>
    <t xml:space="preserve">17,7,28,39,4,13</t>
  </si>
  <si>
    <t xml:space="preserve">13,28,30,1,17</t>
  </si>
  <si>
    <t xml:space="preserve">13,28,15,39,1,17</t>
  </si>
  <si>
    <t xml:space="preserve">3,2,17,13,24,40,26</t>
  </si>
  <si>
    <t xml:space="preserve">13,28,35,37,2</t>
  </si>
  <si>
    <t xml:space="preserve">3,28,32,24,13,2</t>
  </si>
  <si>
    <t xml:space="preserve">13,14,10,37,35,17,18</t>
  </si>
  <si>
    <t xml:space="preserve">35,10,37,17,18,12</t>
  </si>
  <si>
    <t xml:space="preserve">28,37,4,17,3,18</t>
  </si>
  <si>
    <t xml:space="preserve">2,3,17,14,13,9,29</t>
  </si>
  <si>
    <t xml:space="preserve">32,12,13,25,4,9</t>
  </si>
  <si>
    <t xml:space="preserve">32,12,4,9,13</t>
  </si>
  <si>
    <t xml:space="preserve">12,13,9,35,37,32,25</t>
  </si>
  <si>
    <t xml:space="preserve">37,17,4,3,9,14</t>
  </si>
  <si>
    <t xml:space="preserve">28,2,13,17,40,14</t>
  </si>
  <si>
    <t xml:space="preserve">13,12,5,24,3,17</t>
  </si>
  <si>
    <t xml:space="preserve">1,31,37,19,4,3,7</t>
  </si>
  <si>
    <t xml:space="preserve">28,37,26,32,3,1</t>
  </si>
  <si>
    <t xml:space="preserve">2,1,17,3,10,25</t>
  </si>
  <si>
    <t xml:space="preserve">35,31,5,7,24</t>
  </si>
  <si>
    <t xml:space="preserve">26,28,25,2,9,17</t>
  </si>
  <si>
    <t xml:space="preserve">26,32,13,25,4,9</t>
  </si>
  <si>
    <t xml:space="preserve">2,37,4,16,13</t>
  </si>
  <si>
    <t xml:space="preserve">37,4,2,13,35,3</t>
  </si>
  <si>
    <t xml:space="preserve">2,1,10,35,19</t>
  </si>
  <si>
    <t xml:space="preserve">3,5,27,25,21,15,19,11</t>
  </si>
  <si>
    <t xml:space="preserve">1,28,24,32,17,13</t>
  </si>
  <si>
    <t xml:space="preserve">15,17,24,4,6,37,1</t>
  </si>
  <si>
    <t xml:space="preserve">25,10,13,3,22</t>
  </si>
  <si>
    <t xml:space="preserve">35,37,13,4,2</t>
  </si>
  <si>
    <t xml:space="preserve">13,4,3,2,27</t>
  </si>
  <si>
    <t xml:space="preserve">15,23,1,31,26,30</t>
  </si>
  <si>
    <t xml:space="preserve">7,28,3,1,24,17</t>
  </si>
  <si>
    <t xml:space="preserve">2,10,40,35,33,30,39</t>
  </si>
  <si>
    <t xml:space="preserve">10,1,12,13,17,2,35</t>
  </si>
  <si>
    <t xml:space="preserve">16,10,24,3,4,13</t>
  </si>
  <si>
    <t xml:space="preserve">2,10,17,12,6,25</t>
  </si>
  <si>
    <t xml:space="preserve">28,17,10,4,2,19,3,32</t>
  </si>
  <si>
    <t xml:space="preserve">2,6,4,17,13,26</t>
  </si>
  <si>
    <t xml:space="preserve">25,37,9,26,4</t>
  </si>
  <si>
    <t xml:space="preserve">37,17,4,28,13,31</t>
  </si>
  <si>
    <t xml:space="preserve">37,4,26,3,12,25,2</t>
  </si>
  <si>
    <t xml:space="preserve">Pneumatik und Hydraulik</t>
  </si>
  <si>
    <t xml:space="preserve">Gefahrlosigkeit / Verletzbarkeit</t>
  </si>
  <si>
    <t xml:space="preserve">8,31,30,13,12,40,26</t>
  </si>
  <si>
    <t xml:space="preserve">31,30,13,12,40,1,26</t>
  </si>
  <si>
    <t xml:space="preserve">3,17,14,4,2,31,30,37</t>
  </si>
  <si>
    <t xml:space="preserve">3,17,2,31,14,4,30,13</t>
  </si>
  <si>
    <t xml:space="preserve">17,15,13,4,30,14,3</t>
  </si>
  <si>
    <t xml:space="preserve">17,14,13,4,2,3</t>
  </si>
  <si>
    <t xml:space="preserve">13,31,15,17,35</t>
  </si>
  <si>
    <t xml:space="preserve">13,35,31,17,2</t>
  </si>
  <si>
    <t xml:space="preserve">4,13,7,14,15,30,35</t>
  </si>
  <si>
    <t xml:space="preserve">35,31,13,9,5,30</t>
  </si>
  <si>
    <t xml:space="preserve">10,25,3,2,5,24,22</t>
  </si>
  <si>
    <t xml:space="preserve">10,13,5,15,19,2,35</t>
  </si>
  <si>
    <t xml:space="preserve">19,10,13,5,37,2,35</t>
  </si>
  <si>
    <t xml:space="preserve">14,31,13,3,17,19,7</t>
  </si>
  <si>
    <t xml:space="preserve">17,13,19,3,14,7,31,24</t>
  </si>
  <si>
    <t xml:space="preserve">35,12,19,1,39,24,5</t>
  </si>
  <si>
    <t xml:space="preserve">39,35,24,12,1,19</t>
  </si>
  <si>
    <t xml:space="preserve">1,19,34,11,13,24,23</t>
  </si>
  <si>
    <t xml:space="preserve">35,40,3,9,31,4,5</t>
  </si>
  <si>
    <t xml:space="preserve">35,31,40,3,9,7,4,5</t>
  </si>
  <si>
    <t xml:space="preserve">35,5,40,31,9,3,39</t>
  </si>
  <si>
    <t xml:space="preserve">31,35,36,3,19,2,13,4</t>
  </si>
  <si>
    <t xml:space="preserve">28,19,24,2,13,35</t>
  </si>
  <si>
    <t xml:space="preserve">12,13,1,7,31,35,19,2</t>
  </si>
  <si>
    <t xml:space="preserve">34,12,13,3,31,24</t>
  </si>
  <si>
    <t xml:space="preserve">10,5,13,12,19</t>
  </si>
  <si>
    <t xml:space="preserve">19,13,12,35,1,24,3</t>
  </si>
  <si>
    <t xml:space="preserve">3,24,28,5,7,13</t>
  </si>
  <si>
    <t xml:space="preserve">28,19,24,39,13,10</t>
  </si>
  <si>
    <t xml:space="preserve">1,35,24,39,19,13</t>
  </si>
  <si>
    <t xml:space="preserve">35,31,1,33,16,21,11</t>
  </si>
  <si>
    <t xml:space="preserve">30,13,15,28,17,29,5</t>
  </si>
  <si>
    <t xml:space="preserve">24,28,2,13,6</t>
  </si>
  <si>
    <t xml:space="preserve">2,4,26,19,13,16</t>
  </si>
  <si>
    <t xml:space="preserve">28,35,25,36,40,37,5</t>
  </si>
  <si>
    <t xml:space="preserve">17,1,28,13,3</t>
  </si>
  <si>
    <t xml:space="preserve">2,13,7,22,17,31</t>
  </si>
  <si>
    <t xml:space="preserve">2,7,30,19,3,15,9</t>
  </si>
  <si>
    <t xml:space="preserve">31,33,9,4,16,3,24</t>
  </si>
  <si>
    <t xml:space="preserve">30,31,10,3,36,18,13</t>
  </si>
  <si>
    <t xml:space="preserve">10,3,25,16,13</t>
  </si>
  <si>
    <t xml:space="preserve">10,3,25,13,24,15,29</t>
  </si>
  <si>
    <t xml:space="preserve">10,13,1,15,8</t>
  </si>
  <si>
    <t xml:space="preserve">5,31,10,27,30,40</t>
  </si>
  <si>
    <t xml:space="preserve">25,7,10,1,24,28</t>
  </si>
  <si>
    <t xml:space="preserve">28,32,37,17,3,13,26</t>
  </si>
  <si>
    <t xml:space="preserve">28,37,3,7,25,4</t>
  </si>
  <si>
    <t xml:space="preserve">Flexible Hüllen und Folien</t>
  </si>
  <si>
    <t xml:space="preserve">30,40,3,35,29,8</t>
  </si>
  <si>
    <t xml:space="preserve">35,40,3,8,17</t>
  </si>
  <si>
    <t xml:space="preserve">17,14,3,32,1,15,7</t>
  </si>
  <si>
    <t xml:space="preserve">17,14,15,3,32</t>
  </si>
  <si>
    <t xml:space="preserve">14,17,4,15,7,30,32</t>
  </si>
  <si>
    <t xml:space="preserve">14,17,1,4,3,32,24</t>
  </si>
  <si>
    <t xml:space="preserve">14,15,7,28,32,3,2</t>
  </si>
  <si>
    <t xml:space="preserve">28,14,3,32,7,24,2</t>
  </si>
  <si>
    <t xml:space="preserve">15,2,32,31,13,5,1</t>
  </si>
  <si>
    <t xml:space="preserve">30,31,40,3,35,29,1,28,2</t>
  </si>
  <si>
    <t xml:space="preserve">7,24,17,10,28,32,2,3</t>
  </si>
  <si>
    <t xml:space="preserve">3,2,6,32,11,28</t>
  </si>
  <si>
    <t xml:space="preserve">2,28,6,32,15,1,5</t>
  </si>
  <si>
    <t xml:space="preserve">15,3,14,19,26</t>
  </si>
  <si>
    <t xml:space="preserve">3,28,7,31,4,15,19,14</t>
  </si>
  <si>
    <t xml:space="preserve">15,3,19,28,7,4,14,1</t>
  </si>
  <si>
    <t xml:space="preserve">3,28,19,14,1,8,38</t>
  </si>
  <si>
    <t xml:space="preserve">15,4,14,32,1,19,24</t>
  </si>
  <si>
    <t xml:space="preserve">40,9,17,7,5,2,26,35</t>
  </si>
  <si>
    <t xml:space="preserve">9,17,40,2,35,7,5,3</t>
  </si>
  <si>
    <t xml:space="preserve">3,40,10,35,4,31,29,17</t>
  </si>
  <si>
    <t xml:space="preserve">35,31,3,15,2,36,40</t>
  </si>
  <si>
    <t xml:space="preserve">32,3,35,19,1,5,15,4</t>
  </si>
  <si>
    <t xml:space="preserve">2,13,28,5,27,4,15,29</t>
  </si>
  <si>
    <t xml:space="preserve">28,17,3,4,1,34,12</t>
  </si>
  <si>
    <t xml:space="preserve">7,10,6,2,9,12,24,15</t>
  </si>
  <si>
    <t xml:space="preserve">28,3,15,31,24,35,1</t>
  </si>
  <si>
    <t xml:space="preserve">3,7,32,10,4,24,19</t>
  </si>
  <si>
    <t xml:space="preserve">3,14,35,31,13,9,4</t>
  </si>
  <si>
    <t xml:space="preserve">4,28,15,29,35,1,10,7</t>
  </si>
  <si>
    <t xml:space="preserve">35,2,13,29,19,22,34,15,31</t>
  </si>
  <si>
    <t xml:space="preserve">28,7,15,29,13,1,3,2</t>
  </si>
  <si>
    <t xml:space="preserve">28,5,17,3,32,7</t>
  </si>
  <si>
    <t xml:space="preserve">28,6,7,17,3,24</t>
  </si>
  <si>
    <t xml:space="preserve">2,28,35,3,4,40,13</t>
  </si>
  <si>
    <t xml:space="preserve">3,7,13,17,28,24,27</t>
  </si>
  <si>
    <t xml:space="preserve">28,7,24,9,31,13,32</t>
  </si>
  <si>
    <t xml:space="preserve">2,28,31,40,17,26,4,30</t>
  </si>
  <si>
    <t xml:space="preserve">2,12,5,19,40,31,30,29</t>
  </si>
  <si>
    <t xml:space="preserve">16,10,2,6,22,1,25,13</t>
  </si>
  <si>
    <t xml:space="preserve">3,22,10,24,32,13,30</t>
  </si>
  <si>
    <t xml:space="preserve">10,29,28,1,35,17</t>
  </si>
  <si>
    <t xml:space="preserve">28,10,35,1,2,17,3</t>
  </si>
  <si>
    <t xml:space="preserve">28,2,13,24,7,5,14,17</t>
  </si>
  <si>
    <t xml:space="preserve">7,13,2,32,19,37,26</t>
  </si>
  <si>
    <t xml:space="preserve">32,26,31,28,17,13,6,15,30</t>
  </si>
  <si>
    <t xml:space="preserve">26,10,32,37,3,17,7,28</t>
  </si>
  <si>
    <t xml:space="preserve">Poröse Materialien</t>
  </si>
  <si>
    <t xml:space="preserve">Andere schädliche, auf d. System wirkende Effekte</t>
  </si>
  <si>
    <t xml:space="preserve">35,31,8,21,3,30,40</t>
  </si>
  <si>
    <t xml:space="preserve">35,2,31,13,40,24,3,17</t>
  </si>
  <si>
    <t xml:space="preserve">1,17,4,24,13,14,35,33,3</t>
  </si>
  <si>
    <t xml:space="preserve">35,17,18,1,14,10,3</t>
  </si>
  <si>
    <t xml:space="preserve">1,28,4,3,33,35,17,14</t>
  </si>
  <si>
    <t xml:space="preserve">17,2,35,14,3,24,4,39</t>
  </si>
  <si>
    <t xml:space="preserve">3,24,15,37,35,7,17,19</t>
  </si>
  <si>
    <t xml:space="preserve">5,17,39,19,2,4,35</t>
  </si>
  <si>
    <t xml:space="preserve">30,24,32,1,35,17,13</t>
  </si>
  <si>
    <t xml:space="preserve">31,30,35,28,4,17,26,40,2</t>
  </si>
  <si>
    <t xml:space="preserve">2,26,3,40,25,17</t>
  </si>
  <si>
    <t xml:space="preserve">15,28,35,24,21,4,3</t>
  </si>
  <si>
    <t xml:space="preserve">35,5,40,3,1,24,33</t>
  </si>
  <si>
    <t xml:space="preserve">24,35,28,21,13,3,19,1</t>
  </si>
  <si>
    <t xml:space="preserve">3,13,35,18,17,24,33,39</t>
  </si>
  <si>
    <t xml:space="preserve">6,24,1,26,15,14,17,3</t>
  </si>
  <si>
    <t xml:space="preserve">1,35,24,6,26,17,3,14</t>
  </si>
  <si>
    <t xml:space="preserve">19,2,31,10,24,6,1</t>
  </si>
  <si>
    <t xml:space="preserve">1,35,40,2,14,12,4,30</t>
  </si>
  <si>
    <t xml:space="preserve">35,1,40,17,12,3,5,14,24</t>
  </si>
  <si>
    <t xml:space="preserve">35,24,4,40,30,3,39,28</t>
  </si>
  <si>
    <t xml:space="preserve">35,31,33,17,12,40,2,5</t>
  </si>
  <si>
    <t xml:space="preserve">35,1,13,32,19,5,40,28,25</t>
  </si>
  <si>
    <t xml:space="preserve">2,3,35,28,10,19,5,4</t>
  </si>
  <si>
    <t xml:space="preserve">40,3,4,24,12,34,33,35</t>
  </si>
  <si>
    <t xml:space="preserve">18,3,24,23,35,40,10,12,32</t>
  </si>
  <si>
    <t xml:space="preserve">35,24,21,2,30,17,3,4</t>
  </si>
  <si>
    <t xml:space="preserve">32,10,25,2,7,3,31</t>
  </si>
  <si>
    <t xml:space="preserve">31,1,17,14,35,3,7</t>
  </si>
  <si>
    <t xml:space="preserve">24,35,18,1,32,40</t>
  </si>
  <si>
    <t xml:space="preserve">35,3,13,24,17,4,32,40,18</t>
  </si>
  <si>
    <t xml:space="preserve">35,15,31,30,4,11,16,40</t>
  </si>
  <si>
    <t xml:space="preserve">17,24,2,5,7,3</t>
  </si>
  <si>
    <t xml:space="preserve">25,28,3,15,10,4,6,2,31</t>
  </si>
  <si>
    <t xml:space="preserve">35,4,24,17,40,2,28,5,14</t>
  </si>
  <si>
    <t xml:space="preserve">10,3,14,25,27,5,4</t>
  </si>
  <si>
    <t xml:space="preserve">3,24,7,14,2,5,13,17</t>
  </si>
  <si>
    <t xml:space="preserve">3,15,19,32,9,14,35,5,24</t>
  </si>
  <si>
    <t xml:space="preserve">30,24,32,17,13,3,2</t>
  </si>
  <si>
    <t xml:space="preserve">35,24,1,40,3,39,4,13,17</t>
  </si>
  <si>
    <t xml:space="preserve">28,1,10,18,26,23,12</t>
  </si>
  <si>
    <t xml:space="preserve">10,3,34,4,23,33,1</t>
  </si>
  <si>
    <t xml:space="preserve">35,24,13,3,2,40,4,9,6</t>
  </si>
  <si>
    <t xml:space="preserve">4,40,2,5,17,19,29,28</t>
  </si>
  <si>
    <t xml:space="preserve">1,25,37,24,9,28,26</t>
  </si>
  <si>
    <t xml:space="preserve">5,1,17,18,32,40,28,39</t>
  </si>
  <si>
    <t xml:space="preserve">5,37,18,32,4,28</t>
  </si>
  <si>
    <t xml:space="preserve">Verändern von Farbe und Durchsichtigk.</t>
  </si>
  <si>
    <t xml:space="preserve">Fertigungsfreundlichkeit</t>
  </si>
  <si>
    <t xml:space="preserve">28,1,8,15,5,3,29,13</t>
  </si>
  <si>
    <t xml:space="preserve">1,13,14,8,26,24,10,27,36</t>
  </si>
  <si>
    <t xml:space="preserve">14,13,1,17,15,10,2,29,5</t>
  </si>
  <si>
    <t xml:space="preserve">13,17,14,15,4,29,2,27,37</t>
  </si>
  <si>
    <t xml:space="preserve">13,1,26,17,12,4,2,16,30</t>
  </si>
  <si>
    <t xml:space="preserve">1,3,16,26,13,40,18,30</t>
  </si>
  <si>
    <t xml:space="preserve">13,1,7,30,3,35,40,29</t>
  </si>
  <si>
    <t xml:space="preserve">1,35,15,38,36,2,3</t>
  </si>
  <si>
    <t xml:space="preserve">29,13,1,16,28,30,24,27,35</t>
  </si>
  <si>
    <t xml:space="preserve">35,16,1,31,24,30,27,29,23</t>
  </si>
  <si>
    <t xml:space="preserve">6,2,10,7,15,13,1</t>
  </si>
  <si>
    <t xml:space="preserve">10,1,37,4,21,12,27,13</t>
  </si>
  <si>
    <t xml:space="preserve">10,1,16,35,37,3,13,38</t>
  </si>
  <si>
    <t xml:space="preserve">35,13,1,28,2,8,15,4</t>
  </si>
  <si>
    <t xml:space="preserve">35,12,28,29,1,10,3,13,2</t>
  </si>
  <si>
    <t xml:space="preserve">28,1,10,26,35,39,19</t>
  </si>
  <si>
    <t xml:space="preserve">28,1,10,26,4,19,35</t>
  </si>
  <si>
    <t xml:space="preserve">28,12,24,19,1,21,10</t>
  </si>
  <si>
    <t xml:space="preserve">35,10,1,19,21,12,13,22</t>
  </si>
  <si>
    <t xml:space="preserve">3,35,1,24,33,10,30</t>
  </si>
  <si>
    <t xml:space="preserve">1,11,3,13,39,33,24,9</t>
  </si>
  <si>
    <t xml:space="preserve">10,24,35,18,2,36,26</t>
  </si>
  <si>
    <t xml:space="preserve">32,24,1,35,28,2,27,25</t>
  </si>
  <si>
    <t xml:space="preserve">1,10,15,16,3,6,25</t>
  </si>
  <si>
    <t xml:space="preserve">19,34,33,9,15,2,12,13</t>
  </si>
  <si>
    <t xml:space="preserve">3,4,35,15,20,28</t>
  </si>
  <si>
    <t xml:space="preserve">19,35,2,13,10,24,16,15</t>
  </si>
  <si>
    <t xml:space="preserve">25,24,16,10,2,22,37,6</t>
  </si>
  <si>
    <t xml:space="preserve">24,9,2,39,13,25,5</t>
  </si>
  <si>
    <t xml:space="preserve">35,10,5,36,21,24</t>
  </si>
  <si>
    <t xml:space="preserve">35,10,5,21,24,39,29,7</t>
  </si>
  <si>
    <t xml:space="preserve">1,3,25,13,15,30,19,29</t>
  </si>
  <si>
    <t xml:space="preserve">28,3,6,2,13,15</t>
  </si>
  <si>
    <t xml:space="preserve">2,5,28,13,16,25,15</t>
  </si>
  <si>
    <t xml:space="preserve">2,3,35,9,28,27,33</t>
  </si>
  <si>
    <t xml:space="preserve">1,35,13,23,25,27</t>
  </si>
  <si>
    <t xml:space="preserve">1,24,10,13,5</t>
  </si>
  <si>
    <t xml:space="preserve">6,35,28,9,1,24</t>
  </si>
  <si>
    <t xml:space="preserve">30,24,16,32,3</t>
  </si>
  <si>
    <t xml:space="preserve">35,39,2,29,22,21,19,11,8</t>
  </si>
  <si>
    <t xml:space="preserve">3,16,25,12,24</t>
  </si>
  <si>
    <t xml:space="preserve">1,10,28,8,13,25</t>
  </si>
  <si>
    <t xml:space="preserve">1,13,15,14,5</t>
  </si>
  <si>
    <t xml:space="preserve">27,26,1,5,10,9</t>
  </si>
  <si>
    <t xml:space="preserve">25,3,19,13,6,32,39</t>
  </si>
  <si>
    <t xml:space="preserve">6,28,1,13,11,10</t>
  </si>
  <si>
    <t xml:space="preserve">35,12,1,6,28,13,15,29</t>
  </si>
  <si>
    <t xml:space="preserve">Gleichartigkeit bzw. Homogenität</t>
  </si>
  <si>
    <t xml:space="preserve">Fertigungsgenauigkeit / Gleichheit</t>
  </si>
  <si>
    <t xml:space="preserve">13,8,18,28,16,24,26</t>
  </si>
  <si>
    <t xml:space="preserve">35,28,9,17,31,26</t>
  </si>
  <si>
    <t xml:space="preserve">3,17,28,10,29,37,24</t>
  </si>
  <si>
    <t xml:space="preserve">17,1,10,32,24,37,2</t>
  </si>
  <si>
    <t xml:space="preserve">29,28,37,32,24,33</t>
  </si>
  <si>
    <t xml:space="preserve">29,18,36,37,32,2</t>
  </si>
  <si>
    <t xml:space="preserve">28,37,1,25,18,20,24</t>
  </si>
  <si>
    <t xml:space="preserve">35,28,25,10,18,20,1</t>
  </si>
  <si>
    <t xml:space="preserve">30,13,10,32,12,21,40</t>
  </si>
  <si>
    <t xml:space="preserve">30,25,32,9,13,12,3,31</t>
  </si>
  <si>
    <t xml:space="preserve">37,3,4,32,13,17</t>
  </si>
  <si>
    <t xml:space="preserve">5,40,16,3,20,19</t>
  </si>
  <si>
    <t xml:space="preserve">5,4,17,18,3,30,24</t>
  </si>
  <si>
    <t xml:space="preserve">10,32,28,3,17,4,19</t>
  </si>
  <si>
    <t xml:space="preserve">12,19,28,29,3,10,13</t>
  </si>
  <si>
    <t xml:space="preserve">2,26,32,3,19,21,13</t>
  </si>
  <si>
    <t xml:space="preserve">2,26,21,13,19,3,17</t>
  </si>
  <si>
    <t xml:space="preserve">2,32,21,16,3,19</t>
  </si>
  <si>
    <t xml:space="preserve">35,3,12,13,17,29,32</t>
  </si>
  <si>
    <t xml:space="preserve">3,17,7,35,29,32</t>
  </si>
  <si>
    <t xml:space="preserve">24,35,33,18,3,16</t>
  </si>
  <si>
    <t xml:space="preserve">26,3,24,19,2,9</t>
  </si>
  <si>
    <t xml:space="preserve">32,19,3,2,5,13</t>
  </si>
  <si>
    <t xml:space="preserve">3,10,14,40,7,13</t>
  </si>
  <si>
    <t xml:space="preserve">10,31,35,24,36,37,3</t>
  </si>
  <si>
    <t xml:space="preserve">28,15,5,18,32,26</t>
  </si>
  <si>
    <t xml:space="preserve">2,16,13,32,35,29,3,31</t>
  </si>
  <si>
    <t xml:space="preserve">13,10,2,34,7,1,24</t>
  </si>
  <si>
    <t xml:space="preserve">2,13,7,37,35,9,18</t>
  </si>
  <si>
    <t xml:space="preserve">3,10,40,24,19</t>
  </si>
  <si>
    <t xml:space="preserve">10,17,35,4,23,34,26,33</t>
  </si>
  <si>
    <t xml:space="preserve">35,7,13,1,4,17,12</t>
  </si>
  <si>
    <t xml:space="preserve">13,4,9,28,15,2,1</t>
  </si>
  <si>
    <t xml:space="preserve">19,3,1,32,35,2,25</t>
  </si>
  <si>
    <t xml:space="preserve">28,25,13,1,5,11</t>
  </si>
  <si>
    <t xml:space="preserve">3,10,1,25,30,29</t>
  </si>
  <si>
    <t xml:space="preserve">2,10,24,3,25</t>
  </si>
  <si>
    <t xml:space="preserve">4,3,31,35,30</t>
  </si>
  <si>
    <t xml:space="preserve">2,3,17,32,7</t>
  </si>
  <si>
    <t xml:space="preserve">10,28,9,23,2,24,33,35</t>
  </si>
  <si>
    <t xml:space="preserve">25,13,24,15,19,26,28</t>
  </si>
  <si>
    <t xml:space="preserve">25,15,24,13,17,28,26</t>
  </si>
  <si>
    <t xml:space="preserve">2,10,39,18,32,16,5,26</t>
  </si>
  <si>
    <t xml:space="preserve">2,16,18,26,3,4,28</t>
  </si>
  <si>
    <t xml:space="preserve">28,25,37,10,26,7</t>
  </si>
  <si>
    <t xml:space="preserve">28,26,32,18,9,25</t>
  </si>
  <si>
    <t xml:space="preserve">28,32,18,9,3,25</t>
  </si>
  <si>
    <t xml:space="preserve">Beseitigung und Regeneration</t>
  </si>
  <si>
    <t xml:space="preserve">28,13,12,35,18,14,31</t>
  </si>
  <si>
    <t xml:space="preserve">28,12,35,10,13,26</t>
  </si>
  <si>
    <t xml:space="preserve">17,28,13,12,14,4,25</t>
  </si>
  <si>
    <t xml:space="preserve">17,28,13,4,12,6</t>
  </si>
  <si>
    <t xml:space="preserve">13,17,14,12,4,26,5</t>
  </si>
  <si>
    <t xml:space="preserve">13,26,17,4,12,5</t>
  </si>
  <si>
    <t xml:space="preserve">26,13,35,16,7,24</t>
  </si>
  <si>
    <t xml:space="preserve">26,13,35,31,16,24</t>
  </si>
  <si>
    <t xml:space="preserve">13,24,10,15,16,1,28</t>
  </si>
  <si>
    <t xml:space="preserve">26,31,35,13,3,23</t>
  </si>
  <si>
    <t xml:space="preserve">37,4,5,24,10</t>
  </si>
  <si>
    <t xml:space="preserve">19,9,16,6,13,10,37</t>
  </si>
  <si>
    <t xml:space="preserve">25,10,16,2,37,13,24</t>
  </si>
  <si>
    <t xml:space="preserve">10,28,25,19,3,37</t>
  </si>
  <si>
    <t xml:space="preserve">12,35,8,4,13,10,1</t>
  </si>
  <si>
    <t xml:space="preserve">1,13,30,2,35,4</t>
  </si>
  <si>
    <t xml:space="preserve">1,2,35,13,38</t>
  </si>
  <si>
    <t xml:space="preserve">2,12,26,28,8,6</t>
  </si>
  <si>
    <t xml:space="preserve">35,1,12,13,24,17,4</t>
  </si>
  <si>
    <t xml:space="preserve">13,35,9,1,17,7</t>
  </si>
  <si>
    <t xml:space="preserve">1,13,3,39,18,17,24</t>
  </si>
  <si>
    <t xml:space="preserve">2,19,26,35,22,36,34</t>
  </si>
  <si>
    <t xml:space="preserve">19,13,32,2,24</t>
  </si>
  <si>
    <t xml:space="preserve">17,3,2,28,19,29,15</t>
  </si>
  <si>
    <t xml:space="preserve">10,4,24,5,35,3,12,18</t>
  </si>
  <si>
    <t xml:space="preserve">15,28,35,24,29,31,2,5</t>
  </si>
  <si>
    <t xml:space="preserve">28,21,3,13,34,24</t>
  </si>
  <si>
    <t xml:space="preserve">5,3,28,33,35,24,25</t>
  </si>
  <si>
    <t xml:space="preserve">31,14,9,12,24,13,3</t>
  </si>
  <si>
    <t xml:space="preserve">1,24,23,35,21,13,3,4</t>
  </si>
  <si>
    <t xml:space="preserve">24,2,11,3,23,19,7</t>
  </si>
  <si>
    <t xml:space="preserve">28,1,29,10,12,4,14,35</t>
  </si>
  <si>
    <t xml:space="preserve">6,13,2,3,17,10</t>
  </si>
  <si>
    <t xml:space="preserve">5,25,21,10,23,17,3,12,1</t>
  </si>
  <si>
    <t xml:space="preserve">12,28,23,7,35,31</t>
  </si>
  <si>
    <t xml:space="preserve">13,35,4,2,28,37,17</t>
  </si>
  <si>
    <t xml:space="preserve">25,13,28,2,10,7</t>
  </si>
  <si>
    <t xml:space="preserve">31,30,16,39,24,40,5</t>
  </si>
  <si>
    <t xml:space="preserve">3,16,22,35,9,2</t>
  </si>
  <si>
    <t xml:space="preserve">2,25,1,23,33,13,24,29,3</t>
  </si>
  <si>
    <t xml:space="preserve">1,13,12,26,21,10</t>
  </si>
  <si>
    <t xml:space="preserve">25,28,26,3,17,12,18,4</t>
  </si>
  <si>
    <t xml:space="preserve">12,26,2,5,35,15,10</t>
  </si>
  <si>
    <t xml:space="preserve">15,24,28,10,13,4,17</t>
  </si>
  <si>
    <t xml:space="preserve">28,3,4,17,37</t>
  </si>
  <si>
    <t xml:space="preserve">25,17,1,27,28</t>
  </si>
  <si>
    <t xml:space="preserve">13,24,28,25,10,32</t>
  </si>
  <si>
    <t xml:space="preserve">Veränderung des Aggregatszustandes</t>
  </si>
  <si>
    <t xml:space="preserve">35,24,8,13,2,37,30,31</t>
  </si>
  <si>
    <t xml:space="preserve">35,13,28,1,8,3,15</t>
  </si>
  <si>
    <t xml:space="preserve">17,4,18,35,28,14,38</t>
  </si>
  <si>
    <t xml:space="preserve">14,7,17,19,3,1,35,30</t>
  </si>
  <si>
    <t xml:space="preserve">35,1,10,31,26,17,34,16</t>
  </si>
  <si>
    <t xml:space="preserve">10,7,35,17,3,4,30</t>
  </si>
  <si>
    <t xml:space="preserve">3,12,10,2,6,34,19,24</t>
  </si>
  <si>
    <t xml:space="preserve">35,10,1,2,13,5,37,24,3</t>
  </si>
  <si>
    <t xml:space="preserve">13,1,17,36,10,30,16</t>
  </si>
  <si>
    <t xml:space="preserve">35,3,2,25,9,19,13</t>
  </si>
  <si>
    <t xml:space="preserve">2,24,25,7,23,13,10</t>
  </si>
  <si>
    <t xml:space="preserve">10,3,5,18,2,35,13,17</t>
  </si>
  <si>
    <t xml:space="preserve">1,35,18,9,3,16,24,20,38</t>
  </si>
  <si>
    <t xml:space="preserve">35,3,24,5,4,12,13,19</t>
  </si>
  <si>
    <t xml:space="preserve">10,15,12,22,40,35,28,36</t>
  </si>
  <si>
    <t xml:space="preserve">19,5,35,38,9,13,3</t>
  </si>
  <si>
    <t xml:space="preserve">1,19,3,5,35,13,4</t>
  </si>
  <si>
    <t xml:space="preserve">10,35,28,38,19,15,24,5</t>
  </si>
  <si>
    <t xml:space="preserve">3,14,9,37,1,28,13</t>
  </si>
  <si>
    <t xml:space="preserve">3,35,5,10,40,28,29,18</t>
  </si>
  <si>
    <t xml:space="preserve">24,35,3,4,39,12,25</t>
  </si>
  <si>
    <t xml:space="preserve">35,28,21,36,10,3,40,31</t>
  </si>
  <si>
    <t xml:space="preserve">1,24,19,31,26,17,32</t>
  </si>
  <si>
    <t xml:space="preserve">2,13,10,3,29,28,24</t>
  </si>
  <si>
    <t xml:space="preserve">35,12,2,34,14,3,24,9,5</t>
  </si>
  <si>
    <t xml:space="preserve">10,3,6,24,34,1,7</t>
  </si>
  <si>
    <t xml:space="preserve">28,35,15,14,9,5,19,24</t>
  </si>
  <si>
    <t xml:space="preserve">10,2,3,24,25,13,4,37</t>
  </si>
  <si>
    <t xml:space="preserve">9,14,1,2,31,4,17</t>
  </si>
  <si>
    <t xml:space="preserve">35,25,13,2,34,21</t>
  </si>
  <si>
    <t xml:space="preserve">24,39,13,35,3,40,5,17,18</t>
  </si>
  <si>
    <t xml:space="preserve">28,15,29,35,1,10,17,40,36</t>
  </si>
  <si>
    <t xml:space="preserve">10,2,13,28,24,1</t>
  </si>
  <si>
    <t xml:space="preserve">28,7,26,24,10,1,35,25,15</t>
  </si>
  <si>
    <t xml:space="preserve">3,1,35,10,14,24,39,9</t>
  </si>
  <si>
    <t xml:space="preserve">1,25,9,2,13,17,32</t>
  </si>
  <si>
    <t xml:space="preserve">10,24,1,28,7</t>
  </si>
  <si>
    <t xml:space="preserve">10,39,1,18,31,24</t>
  </si>
  <si>
    <t xml:space="preserve">2,13,22,1,17,7</t>
  </si>
  <si>
    <t xml:space="preserve">35,13,24,33,40,2,11,14</t>
  </si>
  <si>
    <t xml:space="preserve">1,10,24,35,28,6,19</t>
  </si>
  <si>
    <t xml:space="preserve">3,32,26,18,1,25,35</t>
  </si>
  <si>
    <t xml:space="preserve">10,5,12,26,35,4,13</t>
  </si>
  <si>
    <t xml:space="preserve">6,12,10,1,28,27,17,31</t>
  </si>
  <si>
    <t xml:space="preserve">25,1,19,7,24,16</t>
  </si>
  <si>
    <t xml:space="preserve">4,32,37,25,28,18,35,24,13</t>
  </si>
  <si>
    <t xml:space="preserve">1,28,19,37,4,13,24,3</t>
  </si>
  <si>
    <t xml:space="preserve">Anwenden von Phasenübergängen</t>
  </si>
  <si>
    <t xml:space="preserve">35,40,30,9,5,34,26,31,2</t>
  </si>
  <si>
    <t xml:space="preserve">35,2,9,5,26,31,40,39</t>
  </si>
  <si>
    <t xml:space="preserve">1,19,26,13,2,24,4</t>
  </si>
  <si>
    <t xml:space="preserve">9,26,28,13,2,35,24,4</t>
  </si>
  <si>
    <t xml:space="preserve">14,1,28,13,2,35,16,17,4</t>
  </si>
  <si>
    <t xml:space="preserve">19,6,17,2,13,35,14,36</t>
  </si>
  <si>
    <t xml:space="preserve">35,26,34,30,5,40,6,13</t>
  </si>
  <si>
    <t xml:space="preserve">2,13,35,1,28,5</t>
  </si>
  <si>
    <t xml:space="preserve">29,13,2,28,15,30,1</t>
  </si>
  <si>
    <t xml:space="preserve">2,10,13,3,35,31,24</t>
  </si>
  <si>
    <t xml:space="preserve">25,7,24,13,32,3,2,37</t>
  </si>
  <si>
    <t xml:space="preserve">10,28,15,4,12,9,13,29</t>
  </si>
  <si>
    <t xml:space="preserve">35,10,13,6,4</t>
  </si>
  <si>
    <t xml:space="preserve">28,10,13,34,18,19,4</t>
  </si>
  <si>
    <t xml:space="preserve">3,9,29,17,26,2,16</t>
  </si>
  <si>
    <t xml:space="preserve">28,5,2,29,35,10,13,27</t>
  </si>
  <si>
    <t xml:space="preserve">28,10,5,13,35,2</t>
  </si>
  <si>
    <t xml:space="preserve">19,28,2,30,35,20,34</t>
  </si>
  <si>
    <t xml:space="preserve">19,35,4,9,2,40,1</t>
  </si>
  <si>
    <t xml:space="preserve">40,28,13,2,9,35,29</t>
  </si>
  <si>
    <t xml:space="preserve">24,2,9,25,5,16,39,36,19</t>
  </si>
  <si>
    <t xml:space="preserve">24,13,36,2,17,35,28,9</t>
  </si>
  <si>
    <t xml:space="preserve">35,24,13,17,14,4,28,9</t>
  </si>
  <si>
    <t xml:space="preserve">10,28,2,13,9,35,3,12</t>
  </si>
  <si>
    <t xml:space="preserve">35,28,10,13,9,29,2,24</t>
  </si>
  <si>
    <t xml:space="preserve">3,25,6,29,24,38</t>
  </si>
  <si>
    <t xml:space="preserve">35,28,13,10,2,24,38,34</t>
  </si>
  <si>
    <t xml:space="preserve">25,7,6,24,19,32,1</t>
  </si>
  <si>
    <t xml:space="preserve">24,9,2,13,3,6,25</t>
  </si>
  <si>
    <t xml:space="preserve">5,24,15,2,21,13,35</t>
  </si>
  <si>
    <t xml:space="preserve">1,12,19,35,36,21,29,22</t>
  </si>
  <si>
    <t xml:space="preserve">29,28,1,24,15,25,37</t>
  </si>
  <si>
    <t xml:space="preserve">6,28,13,35,4,24,32</t>
  </si>
  <si>
    <t xml:space="preserve">26,24,6,25,9,28</t>
  </si>
  <si>
    <t xml:space="preserve">35,1,13,40,2,33,6</t>
  </si>
  <si>
    <t xml:space="preserve">3,13,28,1,27,2</t>
  </si>
  <si>
    <t xml:space="preserve">28,5,24,10,19,13</t>
  </si>
  <si>
    <t xml:space="preserve">24,10,26,35,4,13,14</t>
  </si>
  <si>
    <t xml:space="preserve">5,32,35,22,24,33,3</t>
  </si>
  <si>
    <t xml:space="preserve">40,19,15,39,2,7,29,4,36</t>
  </si>
  <si>
    <t xml:space="preserve">3,13,1,28,26,35,10,6</t>
  </si>
  <si>
    <t xml:space="preserve">2,24,13,3,35,26,32</t>
  </si>
  <si>
    <t xml:space="preserve">28,3,1,24,10,13,17</t>
  </si>
  <si>
    <t xml:space="preserve">26,12,29,8,17,1</t>
  </si>
  <si>
    <t xml:space="preserve">3,37,25,26,7,28</t>
  </si>
  <si>
    <t xml:space="preserve">28,10,32,37,15,24</t>
  </si>
  <si>
    <t xml:space="preserve">28,26,10,2,34,7,37</t>
  </si>
  <si>
    <t xml:space="preserve">Wärmeausdehnung</t>
  </si>
  <si>
    <t xml:space="preserve">10,1,6,20,31,35,7</t>
  </si>
  <si>
    <t xml:space="preserve">10,1,13,6,35,7</t>
  </si>
  <si>
    <t xml:space="preserve">35,17,14,10,4,28,12,1</t>
  </si>
  <si>
    <t xml:space="preserve">28,10,25,20,17,13,1,5</t>
  </si>
  <si>
    <t xml:space="preserve">10,13,37,5,28,35,31,25</t>
  </si>
  <si>
    <t xml:space="preserve">10,28,2,13,17,37,25,4</t>
  </si>
  <si>
    <t xml:space="preserve">28,37,10,25,19,3,5,1</t>
  </si>
  <si>
    <t xml:space="preserve">28,1,10,3,5,2,13,25</t>
  </si>
  <si>
    <t xml:space="preserve">5,25,28,10,13,29,37,1</t>
  </si>
  <si>
    <t xml:space="preserve">10,25,7,6,35,37,3,19</t>
  </si>
  <si>
    <t xml:space="preserve">25,10,37,7,3,6,13,4</t>
  </si>
  <si>
    <t xml:space="preserve">3,10,37,2,5,6,7,12,4</t>
  </si>
  <si>
    <t xml:space="preserve">10,25,2,13,37,28,24,7</t>
  </si>
  <si>
    <t xml:space="preserve">25,28,7,10,4,37,5,24,19</t>
  </si>
  <si>
    <t xml:space="preserve">10,35,37,23,25,26,7,24,4</t>
  </si>
  <si>
    <t xml:space="preserve">35,25,10,7,19,5,1</t>
  </si>
  <si>
    <t xml:space="preserve">35,37,1,10,7,5</t>
  </si>
  <si>
    <t xml:space="preserve">24,37,10,5,25,35,28,1,4</t>
  </si>
  <si>
    <t xml:space="preserve">3,40,10,35,2,25,5</t>
  </si>
  <si>
    <t xml:space="preserve">3,10,35,5,24,28,2,17</t>
  </si>
  <si>
    <t xml:space="preserve">25,9,2,13,24,28,5,1</t>
  </si>
  <si>
    <t xml:space="preserve">35,19,2,36,10,13,28,3</t>
  </si>
  <si>
    <t xml:space="preserve">25,35,2,13,5,24,39,3,4</t>
  </si>
  <si>
    <t xml:space="preserve">10,2,23,35,13,1,4,7,24</t>
  </si>
  <si>
    <t xml:space="preserve">35,15,30,13,2,29,34,4</t>
  </si>
  <si>
    <t xml:space="preserve">15,3,13,7,2,4,19,10,25</t>
  </si>
  <si>
    <t xml:space="preserve">35,15,13,3,19,2,4,25</t>
  </si>
  <si>
    <t xml:space="preserve">25,10,7,3,4,26,24,1,32</t>
  </si>
  <si>
    <t xml:space="preserve">10,3,7,15,25,9,2,4,26</t>
  </si>
  <si>
    <t xml:space="preserve">10,15,1,5,13,39,4,24,38</t>
  </si>
  <si>
    <t xml:space="preserve">19,12,16,22,9,28,37,34,27</t>
  </si>
  <si>
    <t xml:space="preserve">1,7,28,25,26,22,35,10</t>
  </si>
  <si>
    <t xml:space="preserve">6,10,13,1,2,24</t>
  </si>
  <si>
    <t xml:space="preserve">2,10,24,25,7,22,1,13</t>
  </si>
  <si>
    <t xml:space="preserve">23,3,13,1,2,10,35</t>
  </si>
  <si>
    <t xml:space="preserve">13,25,1,7,10,24,28,35</t>
  </si>
  <si>
    <t xml:space="preserve">24,2,13,10,7,4,26,5</t>
  </si>
  <si>
    <t xml:space="preserve">10,25,11,39,2,7,24,37,35</t>
  </si>
  <si>
    <t xml:space="preserve">7,10,37,5,13,2,25</t>
  </si>
  <si>
    <t xml:space="preserve">1,19,27,9,12,37,5,2,39</t>
  </si>
  <si>
    <t xml:space="preserve">13,2,35,10,28,21</t>
  </si>
  <si>
    <t xml:space="preserve">25,2,24,13,10,39</t>
  </si>
  <si>
    <t xml:space="preserve">1,28,25,10,21,34</t>
  </si>
  <si>
    <t xml:space="preserve">35,1,10,21,28,15,13,25</t>
  </si>
  <si>
    <t xml:space="preserve">28,15,37,7,2,13,35,29</t>
  </si>
  <si>
    <t xml:space="preserve">13,37,10,7,3,28,32,25</t>
  </si>
  <si>
    <t xml:space="preserve">10,26,2,37,7,28,3,4,32</t>
  </si>
  <si>
    <t xml:space="preserve">Starkes Oxidationsmittel</t>
  </si>
  <si>
    <t xml:space="preserve">Mess-ung</t>
  </si>
  <si>
    <t xml:space="preserve">28,26,13,5,3,8,35,24</t>
  </si>
  <si>
    <t xml:space="preserve">28,26,1,13,3,35,6,24</t>
  </si>
  <si>
    <t xml:space="preserve">26,24,28,5,17,3,37,16,13</t>
  </si>
  <si>
    <t xml:space="preserve">28,26,10,24,32,2,39</t>
  </si>
  <si>
    <t xml:space="preserve">26,28,13,2,17,32,24,18</t>
  </si>
  <si>
    <t xml:space="preserve">26,28,2,17,39,32,24,13,9</t>
  </si>
  <si>
    <t xml:space="preserve">28,24,18,1,32,4,13,25,26</t>
  </si>
  <si>
    <t xml:space="preserve">28,26,2,24,13,31,32,4</t>
  </si>
  <si>
    <t xml:space="preserve">13,28,3,1,17,26,39,24,4</t>
  </si>
  <si>
    <t xml:space="preserve">3,28,18,27,24,13,29,4,32</t>
  </si>
  <si>
    <t xml:space="preserve">19,3,32,7,10,13,25,4</t>
  </si>
  <si>
    <t xml:space="preserve">19,26,2,13,4,25,39,32</t>
  </si>
  <si>
    <t xml:space="preserve">26,2,35,25,3,6,13,24,34</t>
  </si>
  <si>
    <t xml:space="preserve">3,28,1,24,37,25,4,16,35</t>
  </si>
  <si>
    <t xml:space="preserve">28,15,19,37,3,24,40,30</t>
  </si>
  <si>
    <t xml:space="preserve">2,35,38,37,24,31,19,4,28</t>
  </si>
  <si>
    <t xml:space="preserve">35,19,2,24,28,13,16,4</t>
  </si>
  <si>
    <t xml:space="preserve">19,1,35,24,28,16,18,10,3</t>
  </si>
  <si>
    <t xml:space="preserve">35,37,24,1,32,10,3,36,30</t>
  </si>
  <si>
    <t xml:space="preserve">28,3,24,27,15,32,37,1</t>
  </si>
  <si>
    <t xml:space="preserve">28,39,2,10,30,24,35,22</t>
  </si>
  <si>
    <t xml:space="preserve">35,3,28,32,24,13,2,16</t>
  </si>
  <si>
    <t xml:space="preserve">28,26,24,2,13,3,5</t>
  </si>
  <si>
    <t xml:space="preserve">35,10,24,13,1,6,28,37</t>
  </si>
  <si>
    <t xml:space="preserve">1,10,24,18,37,28,26,31</t>
  </si>
  <si>
    <t xml:space="preserve">28,9,18,32,37,26,13</t>
  </si>
  <si>
    <t xml:space="preserve">35,3,19,15,13,37,28,2</t>
  </si>
  <si>
    <t xml:space="preserve">7,26,35,24,2,22,5,33</t>
  </si>
  <si>
    <t xml:space="preserve">3,25,23,9,4,37,18</t>
  </si>
  <si>
    <t xml:space="preserve">28,2,25,37,13,35,7,24</t>
  </si>
  <si>
    <t xml:space="preserve">2,10,34,21,38,6,12,37,7</t>
  </si>
  <si>
    <t xml:space="preserve">1,26,13,15,35,19</t>
  </si>
  <si>
    <t xml:space="preserve">25,1,13,15,35,28</t>
  </si>
  <si>
    <t xml:space="preserve">2,5,13,25,15,35,7</t>
  </si>
  <si>
    <t xml:space="preserve">28,1,40,26,35,2,8,10</t>
  </si>
  <si>
    <t xml:space="preserve">26,2,5,12,10,27,1</t>
  </si>
  <si>
    <t xml:space="preserve">1,10,3,32,23,13</t>
  </si>
  <si>
    <t xml:space="preserve">24,2,10,26,9,12,13</t>
  </si>
  <si>
    <t xml:space="preserve">2,28,26,24,13,7,31,3</t>
  </si>
  <si>
    <t xml:space="preserve">19,28,22,3,30,29,24,9</t>
  </si>
  <si>
    <t xml:space="preserve">5,28,37,11,2,13,29,24</t>
  </si>
  <si>
    <t xml:space="preserve">28,10,25,2,5,13</t>
  </si>
  <si>
    <t xml:space="preserve">10,2,28,25,5,26,37,1,21</t>
  </si>
  <si>
    <t xml:space="preserve">2,28,10,35,25,5,18,26,37</t>
  </si>
  <si>
    <t xml:space="preserve">28,37,10,15,3,24,25,32</t>
  </si>
  <si>
    <t xml:space="preserve">28,32,37,3,7,10,6,24</t>
  </si>
  <si>
    <t xml:space="preserve">28,26,32,24,3,13,37,10,18</t>
  </si>
  <si>
    <t xml:space="preserve">Träges Medium / inerte Atmosphäre</t>
  </si>
  <si>
    <t xml:space="preserve">35,26,32,1,12,8,25</t>
  </si>
  <si>
    <t xml:space="preserve">26,25,1,35,8,12,10</t>
  </si>
  <si>
    <t xml:space="preserve">5,26,28,1,10,24</t>
  </si>
  <si>
    <t xml:space="preserve">26,28,10,24,3,32</t>
  </si>
  <si>
    <t xml:space="preserve">26,24,5,3,28,35,10</t>
  </si>
  <si>
    <t xml:space="preserve">26,24,5,28,3,35,10</t>
  </si>
  <si>
    <t xml:space="preserve">5,24,28,13,26,10,3,1</t>
  </si>
  <si>
    <t xml:space="preserve">28,24,13,3,35,18</t>
  </si>
  <si>
    <t xml:space="preserve">28,3,10,13,24,1,37</t>
  </si>
  <si>
    <t xml:space="preserve">2,13,1,37,6,24</t>
  </si>
  <si>
    <t xml:space="preserve">25,2,7,32,4,3,37,10</t>
  </si>
  <si>
    <t xml:space="preserve">10,28,6,5,34,26,24,27</t>
  </si>
  <si>
    <t xml:space="preserve">10,26,28,24,5,34,27</t>
  </si>
  <si>
    <t xml:space="preserve">28,13,24,5,32,35,37</t>
  </si>
  <si>
    <t xml:space="preserve">24,28,37,2,32,35,1,9</t>
  </si>
  <si>
    <t xml:space="preserve">24,10,3,28,6,37,19,35</t>
  </si>
  <si>
    <t xml:space="preserve">10,24,5,3,28,13,20</t>
  </si>
  <si>
    <t xml:space="preserve">3,5,10,24,13,28</t>
  </si>
  <si>
    <t xml:space="preserve">24,5,2,13,10,28,3,32</t>
  </si>
  <si>
    <t xml:space="preserve">28,24,2,6,10,5,3,32</t>
  </si>
  <si>
    <t xml:space="preserve">35,39,2,37,13,24,12,1</t>
  </si>
  <si>
    <t xml:space="preserve">28,24,6,19,2,10,32,3</t>
  </si>
  <si>
    <t xml:space="preserve">32,1,35,24,6,10,2,31</t>
  </si>
  <si>
    <t xml:space="preserve">28,10,2,6,7,24,25</t>
  </si>
  <si>
    <t xml:space="preserve">28,10,13,2,35,24,34,31,16</t>
  </si>
  <si>
    <t xml:space="preserve">24,28,2,10,6,32,37,26,34</t>
  </si>
  <si>
    <t xml:space="preserve">26,10,24,37,35,27,6,1</t>
  </si>
  <si>
    <t xml:space="preserve">24,7,25,37,1,6</t>
  </si>
  <si>
    <t xml:space="preserve">9,24,2,37,25,7,13</t>
  </si>
  <si>
    <t xml:space="preserve">35,2,24,9,7,13,39</t>
  </si>
  <si>
    <t xml:space="preserve">10,3,24,39,22,13,36,16,26</t>
  </si>
  <si>
    <t xml:space="preserve">35,2,10,13,24,6,1</t>
  </si>
  <si>
    <t xml:space="preserve">2,6,10,15,19,24</t>
  </si>
  <si>
    <t xml:space="preserve">25,13,1,15,6,24</t>
  </si>
  <si>
    <t xml:space="preserve">24,5,23,13,11,25,35,1</t>
  </si>
  <si>
    <t xml:space="preserve">28,24,13,32,1,2,11</t>
  </si>
  <si>
    <t xml:space="preserve">13,27,24,2,6,11</t>
  </si>
  <si>
    <t xml:space="preserve">12,24,9,23,13,10,28</t>
  </si>
  <si>
    <t xml:space="preserve">28,35,7,31,13,24</t>
  </si>
  <si>
    <t xml:space="preserve">28,24,26,22,2,13,35,39,29</t>
  </si>
  <si>
    <t xml:space="preserve">3,25,28,13,35,24,1</t>
  </si>
  <si>
    <t xml:space="preserve">28,26,24,23,25,1</t>
  </si>
  <si>
    <t xml:space="preserve">28,24,26,2,10,1,3,24</t>
  </si>
  <si>
    <t xml:space="preserve">28,26,10,3,13,24</t>
  </si>
  <si>
    <t xml:space="preserve">3,35,10,27,1,13,28,26</t>
  </si>
  <si>
    <t xml:space="preserve">3,25,10,7,13,1,23,19</t>
  </si>
  <si>
    <t xml:space="preserve">26,28,24,10,13,1</t>
  </si>
  <si>
    <t xml:space="preserve">Verbundmaterial</t>
  </si>
  <si>
    <t xml:space="preserve">Matrix 2003</t>
  </si>
  <si>
    <t xml:space="preserve">CREAX/IDEATION</t>
  </si>
  <si>
    <t xml:space="preserve">Darell Mann (www.systematic-innovation.com), Simon Dewulf, Boris Zlotin, Alla Zusman  </t>
  </si>
  <si>
    <t xml:space="preserve">2003 CREAX PRESS</t>
  </si>
  <si>
    <t xml:space="preserve">Deutsche Übersetzung: Horst Th. Nähler, Carsten Gundlach - www.c4pi.de - www.triz-online.de </t>
  </si>
  <si>
    <t xml:space="preserve">40 IP nach A. Löbmann und Dr. R. Adunka  </t>
  </si>
  <si>
    <t xml:space="preserve">Prinzip 35 - 35 - Veränderung des Aggregatszustandes</t>
  </si>
  <si>
    <t xml:space="preserve">Rang</t>
  </si>
  <si>
    <t xml:space="preserve">Farbcode</t>
  </si>
  <si>
    <t xml:space="preserve">Punkte</t>
  </si>
  <si>
    <t xml:space="preserve">HotspotBereiche horizontal in %</t>
  </si>
  <si>
    <t xml:space="preserve">Rang1</t>
  </si>
  <si>
    <t xml:space="preserve">Rang2</t>
  </si>
  <si>
    <t xml:space="preserve">Rang3</t>
  </si>
  <si>
    <t xml:space="preserve">HotspotBereiche vertikal in %</t>
  </si>
  <si>
    <t xml:space="preserve">Quantil</t>
  </si>
  <si>
    <t xml:space="preserve">255,1,1</t>
  </si>
  <si>
    <t xml:space="preserve">255,2,2</t>
  </si>
  <si>
    <t xml:space="preserve">255,3,3</t>
  </si>
  <si>
    <t xml:space="preserve">255,4,4</t>
  </si>
  <si>
    <t xml:space="preserve">255,5,5</t>
  </si>
  <si>
    <t xml:space="preserve">255,6,6</t>
  </si>
  <si>
    <t xml:space="preserve">255,7,7</t>
  </si>
  <si>
    <t xml:space="preserve">255,8,8</t>
  </si>
  <si>
    <t xml:space="preserve">255,9,9</t>
  </si>
  <si>
    <t xml:space="preserve">255,10,10</t>
  </si>
  <si>
    <t xml:space="preserve">255,11,11</t>
  </si>
  <si>
    <t xml:space="preserve">255,12,12</t>
  </si>
  <si>
    <t xml:space="preserve">255,13,13</t>
  </si>
  <si>
    <t xml:space="preserve">255,14,14</t>
  </si>
  <si>
    <t xml:space="preserve">255,15,15</t>
  </si>
  <si>
    <t xml:space="preserve">255,16,16</t>
  </si>
  <si>
    <t xml:space="preserve">255,17,17</t>
  </si>
  <si>
    <t xml:space="preserve">255,18,18</t>
  </si>
  <si>
    <t xml:space="preserve">255,19,19</t>
  </si>
  <si>
    <t xml:space="preserve">255,20,20</t>
  </si>
  <si>
    <t xml:space="preserve">255,21,21</t>
  </si>
  <si>
    <t xml:space="preserve">255,22,22</t>
  </si>
  <si>
    <t xml:space="preserve">255,23,23</t>
  </si>
  <si>
    <t xml:space="preserve">255,24,24</t>
  </si>
  <si>
    <t xml:space="preserve">255,25,25</t>
  </si>
  <si>
    <t xml:space="preserve">255,26,26</t>
  </si>
  <si>
    <t xml:space="preserve">255,27,27</t>
  </si>
  <si>
    <t xml:space="preserve">255,28,28</t>
  </si>
  <si>
    <t xml:space="preserve">255,29,29</t>
  </si>
  <si>
    <t xml:space="preserve">255,30,30</t>
  </si>
  <si>
    <t xml:space="preserve">255,31,31</t>
  </si>
  <si>
    <t xml:space="preserve">255,32,32</t>
  </si>
  <si>
    <t xml:space="preserve">255,33,33</t>
  </si>
  <si>
    <t xml:space="preserve">255,34,34</t>
  </si>
  <si>
    <t xml:space="preserve">255,35,35</t>
  </si>
  <si>
    <t xml:space="preserve">255,36,36</t>
  </si>
  <si>
    <t xml:space="preserve">255,37,37</t>
  </si>
  <si>
    <t xml:space="preserve">255,38,38</t>
  </si>
  <si>
    <t xml:space="preserve">255,39,39</t>
  </si>
  <si>
    <t xml:space="preserve">255,40,40</t>
  </si>
  <si>
    <t xml:space="preserve">255,41,41</t>
  </si>
  <si>
    <t xml:space="preserve">255,42,42</t>
  </si>
  <si>
    <t xml:space="preserve">255,43,43</t>
  </si>
  <si>
    <t xml:space="preserve">255,44,44</t>
  </si>
  <si>
    <t xml:space="preserve">255,45,45</t>
  </si>
  <si>
    <t xml:space="preserve">255,46,46</t>
  </si>
  <si>
    <t xml:space="preserve">255,47,47</t>
  </si>
  <si>
    <t xml:space="preserve">255,48,48</t>
  </si>
  <si>
    <t xml:space="preserve">255,49,49</t>
  </si>
  <si>
    <t xml:space="preserve">255,50,50</t>
  </si>
  <si>
    <t xml:space="preserve">255,51,51</t>
  </si>
  <si>
    <t xml:space="preserve">255,52,52</t>
  </si>
  <si>
    <t xml:space="preserve">255,53,53</t>
  </si>
  <si>
    <t xml:space="preserve">255,54,54</t>
  </si>
  <si>
    <t xml:space="preserve">255,55,55</t>
  </si>
  <si>
    <t xml:space="preserve">255,56,56</t>
  </si>
  <si>
    <t xml:space="preserve">255,57,57</t>
  </si>
  <si>
    <t xml:space="preserve">255,58,58</t>
  </si>
  <si>
    <t xml:space="preserve">255,59,59</t>
  </si>
  <si>
    <t xml:space="preserve">255,60,60</t>
  </si>
  <si>
    <t xml:space="preserve">255,61,61</t>
  </si>
  <si>
    <t xml:space="preserve">255,62,62</t>
  </si>
  <si>
    <t xml:space="preserve">255,63,63</t>
  </si>
  <si>
    <t xml:space="preserve">255,64,64</t>
  </si>
  <si>
    <t xml:space="preserve">255,65,65</t>
  </si>
  <si>
    <t xml:space="preserve">255,66,66</t>
  </si>
  <si>
    <t xml:space="preserve">255,67,67</t>
  </si>
  <si>
    <t xml:space="preserve">255,68,68</t>
  </si>
  <si>
    <t xml:space="preserve">255,69,69</t>
  </si>
  <si>
    <t xml:space="preserve">255,70,70</t>
  </si>
  <si>
    <t xml:space="preserve">255,71,71</t>
  </si>
  <si>
    <t xml:space="preserve">255,72,72</t>
  </si>
  <si>
    <t xml:space="preserve">255,73,73</t>
  </si>
  <si>
    <t xml:space="preserve">255,74,74</t>
  </si>
  <si>
    <t xml:space="preserve">255,75,75</t>
  </si>
  <si>
    <t xml:space="preserve">255,76,76</t>
  </si>
  <si>
    <t xml:space="preserve">255,77,77</t>
  </si>
  <si>
    <t xml:space="preserve">255,78,78</t>
  </si>
  <si>
    <t xml:space="preserve">255,79,79</t>
  </si>
  <si>
    <t xml:space="preserve">255,80,80</t>
  </si>
  <si>
    <t xml:space="preserve">255,81,81</t>
  </si>
  <si>
    <t xml:space="preserve">255,82,82</t>
  </si>
  <si>
    <t xml:space="preserve">255,83,83</t>
  </si>
  <si>
    <t xml:space="preserve">255,84,84</t>
  </si>
  <si>
    <t xml:space="preserve">255,85,85</t>
  </si>
  <si>
    <t xml:space="preserve">255,86,86</t>
  </si>
  <si>
    <t xml:space="preserve">255,87,87</t>
  </si>
  <si>
    <t xml:space="preserve">255,88,88</t>
  </si>
  <si>
    <t xml:space="preserve">255,89,89</t>
  </si>
  <si>
    <t xml:space="preserve">255,90,90</t>
  </si>
  <si>
    <t xml:space="preserve">255,91,91</t>
  </si>
  <si>
    <t xml:space="preserve">255,92,92</t>
  </si>
  <si>
    <t xml:space="preserve">255,93,93</t>
  </si>
  <si>
    <t xml:space="preserve">255,94,94</t>
  </si>
  <si>
    <t xml:space="preserve">255,95,95</t>
  </si>
  <si>
    <t xml:space="preserve">255,96,96</t>
  </si>
  <si>
    <t xml:space="preserve">255,97,97</t>
  </si>
  <si>
    <t xml:space="preserve">255,98,98</t>
  </si>
  <si>
    <t xml:space="preserve">255,99,99</t>
  </si>
  <si>
    <t xml:space="preserve">255,100,100</t>
  </si>
  <si>
    <t xml:space="preserve">255,101,101</t>
  </si>
  <si>
    <t xml:space="preserve">255,102,102</t>
  </si>
  <si>
    <t xml:space="preserve">255,103,103</t>
  </si>
  <si>
    <t xml:space="preserve">255,104,104</t>
  </si>
  <si>
    <t xml:space="preserve">255,105,105</t>
  </si>
  <si>
    <t xml:space="preserve">255,106,106</t>
  </si>
  <si>
    <t xml:space="preserve">255,107,107</t>
  </si>
  <si>
    <t xml:space="preserve">255,108,108</t>
  </si>
  <si>
    <t xml:space="preserve">255,109,109</t>
  </si>
  <si>
    <t xml:space="preserve">255,110,110</t>
  </si>
  <si>
    <t xml:space="preserve">255,111,111</t>
  </si>
  <si>
    <t xml:space="preserve">255,112,112</t>
  </si>
  <si>
    <t xml:space="preserve">255,113,113</t>
  </si>
  <si>
    <t xml:space="preserve">255,114,114</t>
  </si>
  <si>
    <t xml:space="preserve">255,115,115</t>
  </si>
  <si>
    <t xml:space="preserve">255,116,116</t>
  </si>
  <si>
    <t xml:space="preserve">255,117,117</t>
  </si>
  <si>
    <t xml:space="preserve">255,118,118</t>
  </si>
  <si>
    <t xml:space="preserve">255,119,119</t>
  </si>
  <si>
    <t xml:space="preserve">255,120,120</t>
  </si>
  <si>
    <t xml:space="preserve">255,121,121</t>
  </si>
  <si>
    <t xml:space="preserve">255,122,122</t>
  </si>
  <si>
    <t xml:space="preserve">255,123,123</t>
  </si>
  <si>
    <t xml:space="preserve">255,124,124</t>
  </si>
  <si>
    <t xml:space="preserve">255,125,125</t>
  </si>
  <si>
    <t xml:space="preserve">255,126,126</t>
  </si>
  <si>
    <t xml:space="preserve">255,127,127</t>
  </si>
  <si>
    <t xml:space="preserve">255,128,128</t>
  </si>
  <si>
    <t xml:space="preserve">255,129,129</t>
  </si>
  <si>
    <t xml:space="preserve">255,130,130</t>
  </si>
  <si>
    <t xml:space="preserve">255,131,131</t>
  </si>
  <si>
    <t xml:space="preserve">255,132,132</t>
  </si>
  <si>
    <t xml:space="preserve">255,133,133</t>
  </si>
  <si>
    <t xml:space="preserve">255,134,134</t>
  </si>
  <si>
    <t xml:space="preserve">255,135,135</t>
  </si>
  <si>
    <t xml:space="preserve">255,136,136</t>
  </si>
  <si>
    <t xml:space="preserve">255,137,137</t>
  </si>
  <si>
    <t xml:space="preserve">255,138,138</t>
  </si>
  <si>
    <t xml:space="preserve">255,139,139</t>
  </si>
  <si>
    <t xml:space="preserve">255,140,140</t>
  </si>
  <si>
    <t xml:space="preserve">255,141,141</t>
  </si>
  <si>
    <t xml:space="preserve">255,142,142</t>
  </si>
  <si>
    <t xml:space="preserve">255,143,143</t>
  </si>
  <si>
    <t xml:space="preserve">255,144,144</t>
  </si>
  <si>
    <t xml:space="preserve">255,145,145</t>
  </si>
  <si>
    <t xml:space="preserve">255,146,146</t>
  </si>
  <si>
    <t xml:space="preserve">255,147,147</t>
  </si>
  <si>
    <t xml:space="preserve">255,148,148</t>
  </si>
  <si>
    <t xml:space="preserve">255,149,149</t>
  </si>
  <si>
    <t xml:space="preserve">255,150,150</t>
  </si>
  <si>
    <t xml:space="preserve">255,151,151</t>
  </si>
  <si>
    <t xml:space="preserve">255,152,152</t>
  </si>
  <si>
    <t xml:space="preserve">255,153,153</t>
  </si>
  <si>
    <t xml:space="preserve">255,154,154</t>
  </si>
  <si>
    <t xml:space="preserve">255,155,155</t>
  </si>
  <si>
    <t xml:space="preserve">255,156,156</t>
  </si>
  <si>
    <t xml:space="preserve">255,157,157</t>
  </si>
  <si>
    <t xml:space="preserve">255,158,158</t>
  </si>
  <si>
    <t xml:space="preserve">255,159,159</t>
  </si>
  <si>
    <t xml:space="preserve">255,160,160</t>
  </si>
  <si>
    <t xml:space="preserve">255,161,161</t>
  </si>
  <si>
    <t xml:space="preserve">255,162,162</t>
  </si>
  <si>
    <t xml:space="preserve">255,163,163</t>
  </si>
  <si>
    <t xml:space="preserve">255,164,164</t>
  </si>
  <si>
    <t xml:space="preserve">255,165,165</t>
  </si>
  <si>
    <t xml:space="preserve">255,166,166</t>
  </si>
  <si>
    <t xml:space="preserve">255,167,167</t>
  </si>
  <si>
    <t xml:space="preserve">255,168,168</t>
  </si>
  <si>
    <t xml:space="preserve">255,169,169</t>
  </si>
  <si>
    <t xml:space="preserve">255,170,170</t>
  </si>
  <si>
    <t xml:space="preserve">255,171,171</t>
  </si>
  <si>
    <t xml:space="preserve">255,172,172</t>
  </si>
  <si>
    <t xml:space="preserve">255,173,173</t>
  </si>
  <si>
    <t xml:space="preserve">255,174,174</t>
  </si>
  <si>
    <t xml:space="preserve">255,175,175</t>
  </si>
  <si>
    <t xml:space="preserve">255,176,176</t>
  </si>
  <si>
    <t xml:space="preserve">255,177,177</t>
  </si>
  <si>
    <t xml:space="preserve">255,178,178</t>
  </si>
  <si>
    <t xml:space="preserve">255,179,179</t>
  </si>
  <si>
    <t xml:space="preserve">255,180,180</t>
  </si>
  <si>
    <t xml:space="preserve">255,181,181</t>
  </si>
  <si>
    <t xml:space="preserve">255,182,182</t>
  </si>
  <si>
    <t xml:space="preserve">255,183,183</t>
  </si>
  <si>
    <t xml:space="preserve">255,184,184</t>
  </si>
  <si>
    <t xml:space="preserve">255,185,185</t>
  </si>
  <si>
    <t xml:space="preserve">255,186,186</t>
  </si>
  <si>
    <t xml:space="preserve">255,187,187</t>
  </si>
  <si>
    <t xml:space="preserve">255,188,188</t>
  </si>
  <si>
    <t xml:space="preserve">255,189,189</t>
  </si>
  <si>
    <t xml:space="preserve">255,190,190</t>
  </si>
  <si>
    <t xml:space="preserve">255,191,191</t>
  </si>
  <si>
    <t xml:space="preserve">255,192,192</t>
  </si>
  <si>
    <t xml:space="preserve">255,193,193</t>
  </si>
  <si>
    <t xml:space="preserve">255,194,194</t>
  </si>
  <si>
    <t xml:space="preserve">255,195,195</t>
  </si>
  <si>
    <t xml:space="preserve">255,196,196</t>
  </si>
  <si>
    <t xml:space="preserve">255,197,197</t>
  </si>
  <si>
    <t xml:space="preserve">255,198,198</t>
  </si>
  <si>
    <t xml:space="preserve">255,199,199</t>
  </si>
  <si>
    <t xml:space="preserve">255,200,200</t>
  </si>
  <si>
    <t xml:space="preserve">255,201,201</t>
  </si>
  <si>
    <t xml:space="preserve">255,202,202</t>
  </si>
  <si>
    <t xml:space="preserve">255,203,203</t>
  </si>
  <si>
    <t xml:space="preserve">255,204,204</t>
  </si>
  <si>
    <t xml:space="preserve">255,205,205</t>
  </si>
  <si>
    <t xml:space="preserve">255,206,206</t>
  </si>
  <si>
    <t xml:space="preserve">255,207,207</t>
  </si>
  <si>
    <t xml:space="preserve">255,208,208</t>
  </si>
  <si>
    <t xml:space="preserve">255,209,209</t>
  </si>
  <si>
    <t xml:space="preserve">255,210,210</t>
  </si>
  <si>
    <t xml:space="preserve">255,211,211</t>
  </si>
  <si>
    <t xml:space="preserve">255,212,212</t>
  </si>
  <si>
    <t xml:space="preserve">255,213,213</t>
  </si>
  <si>
    <t xml:space="preserve">255,214,214</t>
  </si>
  <si>
    <t xml:space="preserve">255,215,215</t>
  </si>
  <si>
    <t xml:space="preserve">255,216,216</t>
  </si>
  <si>
    <t xml:space="preserve">255,217,217</t>
  </si>
  <si>
    <t xml:space="preserve">255,218,218</t>
  </si>
  <si>
    <t xml:space="preserve">255,219,219</t>
  </si>
  <si>
    <t xml:space="preserve">255,220,220</t>
  </si>
  <si>
    <t xml:space="preserve">255,221,221</t>
  </si>
  <si>
    <t xml:space="preserve">255,222,222</t>
  </si>
  <si>
    <t xml:space="preserve">255,223,223</t>
  </si>
  <si>
    <t xml:space="preserve">255,224,224</t>
  </si>
  <si>
    <t xml:space="preserve">255,225,225</t>
  </si>
  <si>
    <t xml:space="preserve">255,226,226</t>
  </si>
  <si>
    <t xml:space="preserve">255,227,227</t>
  </si>
  <si>
    <t xml:space="preserve">255,228,228</t>
  </si>
  <si>
    <t xml:space="preserve">255,229,229</t>
  </si>
  <si>
    <t xml:space="preserve">255,230,230</t>
  </si>
  <si>
    <t xml:space="preserve">255,231,231</t>
  </si>
  <si>
    <t xml:space="preserve">255,232,232</t>
  </si>
  <si>
    <t xml:space="preserve">255,233,233</t>
  </si>
  <si>
    <t xml:space="preserve">255,234,234</t>
  </si>
  <si>
    <t xml:space="preserve">255,235,235</t>
  </si>
  <si>
    <t xml:space="preserve">255,236,236</t>
  </si>
  <si>
    <t xml:space="preserve">255,237,237</t>
  </si>
  <si>
    <t xml:space="preserve">255,238,238</t>
  </si>
  <si>
    <t xml:space="preserve">255,239,239</t>
  </si>
  <si>
    <t xml:space="preserve">255,240,240</t>
  </si>
  <si>
    <t xml:space="preserve">Produktion/Kosten</t>
  </si>
  <si>
    <t xml:space="preserve">3  19  35  40  1  26  2</t>
  </si>
  <si>
    <t xml:space="preserve">17  15  8  35  34  28  29  30  40</t>
  </si>
  <si>
    <t xml:space="preserve">15  17  28  12  35  29  30</t>
  </si>
  <si>
    <t xml:space="preserve">28  17  29  35  1  31  4</t>
  </si>
  <si>
    <t xml:space="preserve">17  28  1  29  35  15  31  4</t>
  </si>
  <si>
    <t xml:space="preserve">28  29  7  40  35  31  2</t>
  </si>
  <si>
    <t xml:space="preserve">40  35  2  4  7</t>
  </si>
  <si>
    <t xml:space="preserve">3  35  14  17  4  7</t>
  </si>
  <si>
    <t xml:space="preserve">31  28  26  7  2  3  5  40</t>
  </si>
  <si>
    <t xml:space="preserve">2  5  7  4  34  10</t>
  </si>
  <si>
    <t xml:space="preserve">10  5  34  16  2</t>
  </si>
  <si>
    <t xml:space="preserve">10  5  28  35  16  2</t>
  </si>
  <si>
    <t xml:space="preserve">15  2  25  19  38  18</t>
  </si>
  <si>
    <t xml:space="preserve">10  30  35  28  8  37  18</t>
  </si>
  <si>
    <t xml:space="preserve">35  10  19  3  34  31  12</t>
  </si>
  <si>
    <t xml:space="preserve">35  15  1  28  7  14  34  39</t>
  </si>
  <si>
    <t xml:space="preserve">19  30  36  31  12  18  14  25  1</t>
  </si>
  <si>
    <t xml:space="preserve">10  40  30  36  37  31  4  3  12</t>
  </si>
  <si>
    <t xml:space="preserve">28  31  40  35  10  30  18  14  4</t>
  </si>
  <si>
    <t xml:space="preserve">35  1  30  39  29  21  7  19  12</t>
  </si>
  <si>
    <t xml:space="preserve">2  40  6  31  36  29  4  38  32</t>
  </si>
  <si>
    <t xml:space="preserve">1  35  32  38  13  19  23</t>
  </si>
  <si>
    <t xml:space="preserve">1  2  28  3  35  25</t>
  </si>
  <si>
    <t xml:space="preserve">5  35  31  24  3  4  7  40</t>
  </si>
  <si>
    <t xml:space="preserve">10  19  28  20  35  1  2  3  16</t>
  </si>
  <si>
    <t xml:space="preserve">19  6  3  10  2  13  34  12</t>
  </si>
  <si>
    <t xml:space="preserve">10  24  11  35  25</t>
  </si>
  <si>
    <t xml:space="preserve">35  2  25  13  3  5  39  14</t>
  </si>
  <si>
    <t xml:space="preserve">2  30  39  25  10  21  31  35  27</t>
  </si>
  <si>
    <t xml:space="preserve">2  35  10  39  3  31  22  24  27</t>
  </si>
  <si>
    <t xml:space="preserve">29  28  15  2  12  5  7  34</t>
  </si>
  <si>
    <t xml:space="preserve">10  15  13  5  24  25  26</t>
  </si>
  <si>
    <t xml:space="preserve">2  15  3  11  25  23  35  24  1</t>
  </si>
  <si>
    <t xml:space="preserve">3  17  1  35  27  14  11  4  31</t>
  </si>
  <si>
    <t xml:space="preserve">2  28  17  27  3  30  33  11  14</t>
  </si>
  <si>
    <t xml:space="preserve">2  5  6  23  24  28</t>
  </si>
  <si>
    <t xml:space="preserve">26  10  17  13  35  2  5  28</t>
  </si>
  <si>
    <t xml:space="preserve">3  1  31  14  40  30</t>
  </si>
  <si>
    <t xml:space="preserve">5  24  27  21  2  25  18  31  35</t>
  </si>
  <si>
    <t xml:space="preserve">1  5  36  25  16  14  27  24  3</t>
  </si>
  <si>
    <t xml:space="preserve">28  5  26  35  25  1  18  24  3</t>
  </si>
  <si>
    <t xml:space="preserve">35  26 2  10  25  24  1  19  18</t>
  </si>
  <si>
    <t xml:space="preserve">35  24  10  28  12  1  37  3  16</t>
  </si>
  <si>
    <t xml:space="preserve">26  35  40  30  36  2  10  25  28</t>
  </si>
  <si>
    <t xml:space="preserve">10  12  2  19  15  5</t>
  </si>
  <si>
    <t xml:space="preserve">26  28  32  5  20  36  32  37</t>
  </si>
  <si>
    <t xml:space="preserve">28  26  35  10  2  37</t>
  </si>
  <si>
    <t xml:space="preserve">35  3  40  2  31  1  26  </t>
  </si>
  <si>
    <t xml:space="preserve">17  4  30  35  3  5</t>
  </si>
  <si>
    <t xml:space="preserve">17  35  9  31  13  3  5</t>
  </si>
  <si>
    <t xml:space="preserve">17  3  30  7  35  4  14</t>
  </si>
  <si>
    <t xml:space="preserve">17  14  3  35  30  4  9  40  13</t>
  </si>
  <si>
    <t xml:space="preserve">14  13  3  40  35  5  30</t>
  </si>
  <si>
    <t xml:space="preserve">31  35  7  3  13  30</t>
  </si>
  <si>
    <t xml:space="preserve">13  7  3  30  35  31  29  10</t>
  </si>
  <si>
    <t xml:space="preserve">35  31  5  18  25  2</t>
  </si>
  <si>
    <t xml:space="preserve">28  13  7  26  2  17</t>
  </si>
  <si>
    <t xml:space="preserve">3  35  10  12  4  17  14</t>
  </si>
  <si>
    <t xml:space="preserve">40  35  31  6  19  27  2</t>
  </si>
  <si>
    <t xml:space="preserve">3  35  17  3  36  2</t>
  </si>
  <si>
    <t xml:space="preserve">35  9  8  3  40  13</t>
  </si>
  <si>
    <t xml:space="preserve">3  17  14  19  18  30</t>
  </si>
  <si>
    <t xml:space="preserve">12  13  1  28  19  3  35</t>
  </si>
  <si>
    <t xml:space="preserve">13  35  19  3  18  15</t>
  </si>
  <si>
    <t xml:space="preserve">35  8  3  13  40  17  4  12  5</t>
  </si>
  <si>
    <t xml:space="preserve">35  31  8  40  17  4  29  13  5</t>
  </si>
  <si>
    <t xml:space="preserve">15  5  17  30  4  31  12</t>
  </si>
  <si>
    <t xml:space="preserve">35  3  36  19  32  30  25</t>
  </si>
  <si>
    <t xml:space="preserve">19  35  24  32  31  7</t>
  </si>
  <si>
    <t xml:space="preserve">35  31  7  3  13  40</t>
  </si>
  <si>
    <t xml:space="preserve">13  14  5  3  17  12</t>
  </si>
  <si>
    <t xml:space="preserve">10  35  19  25  28  26  20</t>
  </si>
  <si>
    <t xml:space="preserve">28  35  7  31  13  32  39</t>
  </si>
  <si>
    <t xml:space="preserve">10  15  35  3  32  7  26</t>
  </si>
  <si>
    <t xml:space="preserve">14  35  31  1  9</t>
  </si>
  <si>
    <t xml:space="preserve">30  40  13  19  21  24</t>
  </si>
  <si>
    <t xml:space="preserve">40  3  39  2  31  28  8  15</t>
  </si>
  <si>
    <t xml:space="preserve">35  3  15  19  1  2  28  40</t>
  </si>
  <si>
    <t xml:space="preserve">2  13  24  3  17  39</t>
  </si>
  <si>
    <t xml:space="preserve">13  1  32  14  4  26  6</t>
  </si>
  <si>
    <t xml:space="preserve">10  2  14  40  28  29  25</t>
  </si>
  <si>
    <t xml:space="preserve">2  17  13  27  11</t>
  </si>
  <si>
    <t xml:space="preserve">28  2  17  30  4  13  14</t>
  </si>
  <si>
    <t xml:space="preserve">40  9  31  3  7  14</t>
  </si>
  <si>
    <t xml:space="preserve">7  31  3  4  32  1</t>
  </si>
  <si>
    <t xml:space="preserve">17  37  31  3  19  9  4  34</t>
  </si>
  <si>
    <t xml:space="preserve">35  8  9  1  10  28  3  40</t>
  </si>
  <si>
    <t xml:space="preserve">10  35  17  29  7  16  25</t>
  </si>
  <si>
    <t xml:space="preserve">2  26  30  12  23  13</t>
  </si>
  <si>
    <t xml:space="preserve">28  35  15  4  29  1  3  19  25</t>
  </si>
  <si>
    <t xml:space="preserve">13  4  17  14  26  10  1  9</t>
  </si>
  <si>
    <t xml:space="preserve">17  25  13  19  10  3  2</t>
  </si>
  <si>
    <t xml:space="preserve">17  25  37  32  28  15  18</t>
  </si>
  <si>
    <t xml:space="preserve">26  28  18  37  4  3</t>
  </si>
  <si>
    <t xml:space="preserve">31  4  17  15  34  8  29  30  1</t>
  </si>
  <si>
    <t xml:space="preserve">1  2  17  15  30  4  5</t>
  </si>
  <si>
    <t xml:space="preserve">1  17  15  24  13  30</t>
  </si>
  <si>
    <t xml:space="preserve">15  17  4  14  1  3  29  30  35</t>
  </si>
  <si>
    <t xml:space="preserve">17  3  7  15  3  1  4  29</t>
  </si>
  <si>
    <t xml:space="preserve">17  14  7  4  3  35  13  1  30  2</t>
  </si>
  <si>
    <t xml:space="preserve">17  31  3  19  14  4  30</t>
  </si>
  <si>
    <t xml:space="preserve">1  35  29  3  30  10  17  14  12</t>
  </si>
  <si>
    <t xml:space="preserve">35  3  4  1  40  30  31</t>
  </si>
  <si>
    <t xml:space="preserve">28  1  10  32  17  13  15</t>
  </si>
  <si>
    <t xml:space="preserve">19  17  10  1  2  3  28</t>
  </si>
  <si>
    <t xml:space="preserve">10  35  1  3  19  2</t>
  </si>
  <si>
    <t xml:space="preserve">14  1  13  4  17  12  4  3</t>
  </si>
  <si>
    <t xml:space="preserve">17  4  14  10  7  12  2</t>
  </si>
  <si>
    <t xml:space="preserve">1  35  17  14  3  25  8  24  22</t>
  </si>
  <si>
    <t xml:space="preserve">35  17  14  3  1  24  15</t>
  </si>
  <si>
    <t xml:space="preserve">1  35  14  3  38  29  19  4</t>
  </si>
  <si>
    <t xml:space="preserve">1  35  3  14  12  8  17  29</t>
  </si>
  <si>
    <t xml:space="preserve">35  29  40  8  34  3  31  15  30</t>
  </si>
  <si>
    <t xml:space="preserve">1  15  3  14  17  34  12  35  40</t>
  </si>
  <si>
    <t xml:space="preserve">10  15  35  19  3  36</t>
  </si>
  <si>
    <t xml:space="preserve">19  1  32  5  24</t>
  </si>
  <si>
    <t xml:space="preserve">17  35  19  3  4  1  13  28</t>
  </si>
  <si>
    <t xml:space="preserve">1  4  35  29  28  3  10  23</t>
  </si>
  <si>
    <t xml:space="preserve">15  19  2  10  29  4  3</t>
  </si>
  <si>
    <t xml:space="preserve">2  35  14  1  7  3  39  19</t>
  </si>
  <si>
    <t xml:space="preserve">1  24  25  2  3  32</t>
  </si>
  <si>
    <t xml:space="preserve">17  3  13  1  19  28  35</t>
  </si>
  <si>
    <t xml:space="preserve">10  35  38  7  19  24  30</t>
  </si>
  <si>
    <t xml:space="preserve">3  17  15  2  19  25  33  39</t>
  </si>
  <si>
    <t xml:space="preserve">15  1  14  17  25  16  13  3  19</t>
  </si>
  <si>
    <t xml:space="preserve">23  28  17  3  10  1</t>
  </si>
  <si>
    <t xml:space="preserve">15  29  35  10  1  4  7  13</t>
  </si>
  <si>
    <t xml:space="preserve">35  10  14  17  40  3  29  2  1</t>
  </si>
  <si>
    <t xml:space="preserve">1  28  10  17  27  2  13  25</t>
  </si>
  <si>
    <t xml:space="preserve">1  28  35  19  5  2</t>
  </si>
  <si>
    <t xml:space="preserve">3  14  35  17  29  28  19  30</t>
  </si>
  <si>
    <t xml:space="preserve">17  14  3  32  4  5</t>
  </si>
  <si>
    <t xml:space="preserve">1  17  15  25  24  10  35  28  19</t>
  </si>
  <si>
    <t xml:space="preserve">1  24  4  10  29  37  25</t>
  </si>
  <si>
    <t xml:space="preserve">10  28  1  25  37  29  35  2</t>
  </si>
  <si>
    <t xml:space="preserve">17  3  24  26  5  16  25  2</t>
  </si>
  <si>
    <t xml:space="preserve">17  4  14  28  1  29  25  3  5</t>
  </si>
  <si>
    <t xml:space="preserve">1  19  24  26  2  5  28  29</t>
  </si>
  <si>
    <t xml:space="preserve">35  1  3  28  25  13  5  2</t>
  </si>
  <si>
    <t xml:space="preserve">26  35  1  24  32  40</t>
  </si>
  <si>
    <t xml:space="preserve">10  32  1  37  28  39</t>
  </si>
  <si>
    <t xml:space="preserve">35  30  31  8  28  29  40  1</t>
  </si>
  <si>
    <t xml:space="preserve">35  31  40  2  28  29  4  3</t>
  </si>
  <si>
    <t xml:space="preserve">3  1  4  19  17  35</t>
  </si>
  <si>
    <t xml:space="preserve">3  4  19  17  35  1</t>
  </si>
  <si>
    <t xml:space="preserve">17  40  35  10  31  14  4  7</t>
  </si>
  <si>
    <t xml:space="preserve">35  30  14  7  15  17</t>
  </si>
  <si>
    <t xml:space="preserve">14  35  17  2  4  7  3</t>
  </si>
  <si>
    <t xml:space="preserve">13  14  15  7  17  3  30</t>
  </si>
  <si>
    <t xml:space="preserve">4  3  31  25  17  14</t>
  </si>
  <si>
    <t xml:space="preserve">7  17  2  22  28  13</t>
  </si>
  <si>
    <t xml:space="preserve">35  3  29  2  31  7  19</t>
  </si>
  <si>
    <t xml:space="preserve">35  10  1  3  2  25  4  5</t>
  </si>
  <si>
    <t xml:space="preserve">3  14  4  13  18  31  9</t>
  </si>
  <si>
    <t xml:space="preserve">10  17  35  3  28  4  12</t>
  </si>
  <si>
    <t xml:space="preserve">35  19  24  28  21  30  13</t>
  </si>
  <si>
    <t xml:space="preserve">35  3  30  31  12  14  4  13</t>
  </si>
  <si>
    <t xml:space="preserve">17  19  35  12  13  8  3  31</t>
  </si>
  <si>
    <t xml:space="preserve">35  17  3  14  5  7  30</t>
  </si>
  <si>
    <t xml:space="preserve">14  40  3  35  15  17  30</t>
  </si>
  <si>
    <t xml:space="preserve">35  3  15  17  4  14  37  39</t>
  </si>
  <si>
    <t xml:space="preserve">35  36  10  24  32  3  15  17</t>
  </si>
  <si>
    <t xml:space="preserve">35  24  28  3  25  1  14</t>
  </si>
  <si>
    <t xml:space="preserve">3  35  28  30  15  24  19</t>
  </si>
  <si>
    <t xml:space="preserve">28  24  35  12  10  3  4  17</t>
  </si>
  <si>
    <t xml:space="preserve">14  5  30  28  29  10  17  37  18</t>
  </si>
  <si>
    <t xml:space="preserve">1  17  28  3  6  19  14  4</t>
  </si>
  <si>
    <t xml:space="preserve">28  24  13  3  26  14  15  17</t>
  </si>
  <si>
    <t xml:space="preserve">14  1  3  35  17  31</t>
  </si>
  <si>
    <t xml:space="preserve">1  3  21  18  13  14  2  4</t>
  </si>
  <si>
    <t xml:space="preserve">35  17  11  5  18  12  31  2</t>
  </si>
  <si>
    <t xml:space="preserve">1  19  35  15  17  31  24  14</t>
  </si>
  <si>
    <t xml:space="preserve">1  7  17  3  31  35</t>
  </si>
  <si>
    <t xml:space="preserve">10  25  26  2  12  37</t>
  </si>
  <si>
    <t xml:space="preserve">35  17  31  29  28  12  40</t>
  </si>
  <si>
    <t xml:space="preserve">3  10  17  1  37  35  16</t>
  </si>
  <si>
    <t xml:space="preserve">17  7  3  28  13  24</t>
  </si>
  <si>
    <t xml:space="preserve">17  14  30  35  31  39  7  24</t>
  </si>
  <si>
    <t xml:space="preserve">3  17  32  7  35  22</t>
  </si>
  <si>
    <t xml:space="preserve">1  18  9  16  35  40  39</t>
  </si>
  <si>
    <t xml:space="preserve">17  3  15  13  4  31  10</t>
  </si>
  <si>
    <t xml:space="preserve">30  32  10  3  2  29  28  24</t>
  </si>
  <si>
    <t xml:space="preserve">10  24  15  13  35  37  16  17</t>
  </si>
  <si>
    <t xml:space="preserve">3  14  7  30  37  35  16</t>
  </si>
  <si>
    <t xml:space="preserve">28  2  5  26  35  13</t>
  </si>
  <si>
    <t xml:space="preserve">25  10  37  24  28  3</t>
  </si>
  <si>
    <t xml:space="preserve">28  32  26  3  25  2</t>
  </si>
  <si>
    <t xml:space="preserve">28  10  26  32  3  30  24</t>
  </si>
  <si>
    <t xml:space="preserve">Fläche eines
bewegten Objekts</t>
  </si>
  <si>
    <t xml:space="preserve">31  17  3  4  1  18  40  14  30</t>
  </si>
  <si>
    <t xml:space="preserve">17  15  3  31  2  4  29  1</t>
  </si>
  <si>
    <t xml:space="preserve">14  15  4  18  1  17  30  13</t>
  </si>
  <si>
    <t xml:space="preserve">14  17  15  4  13</t>
  </si>
  <si>
    <t xml:space="preserve">17  1  4  3  24  5  2</t>
  </si>
  <si>
    <t xml:space="preserve">14  17  7  4  13  1  31  3  18</t>
  </si>
  <si>
    <t xml:space="preserve">14  17  7  13  4  31  3  1  18</t>
  </si>
  <si>
    <t xml:space="preserve">35  4  14  17  15  34  29  13  1</t>
  </si>
  <si>
    <t xml:space="preserve">31  30  3  13  6  29  1  5  19</t>
  </si>
  <si>
    <t xml:space="preserve">17  15  14  32  1  3</t>
  </si>
  <si>
    <t xml:space="preserve">3  19  18  1  6  5  2</t>
  </si>
  <si>
    <t xml:space="preserve">1  3  19  2  6  5</t>
  </si>
  <si>
    <t xml:space="preserve">14  3  34  29  28  30  13</t>
  </si>
  <si>
    <t xml:space="preserve">3  2  35  19  30  17  1</t>
  </si>
  <si>
    <t xml:space="preserve">19  3  17  1  36  4  32  5  38</t>
  </si>
  <si>
    <t xml:space="preserve">3  17  19  36  5  1  38</t>
  </si>
  <si>
    <t xml:space="preserve">19  40  18  1  30  10  32</t>
  </si>
  <si>
    <t xml:space="preserve">15  30  10  40  28  36  1  2  13</t>
  </si>
  <si>
    <t xml:space="preserve">3  15  40  14  5  1  4  35  11</t>
  </si>
  <si>
    <t xml:space="preserve">2  11  13  35  1  39  24  40  26</t>
  </si>
  <si>
    <t xml:space="preserve">3  15  19  36  1  24  32  31  16</t>
  </si>
  <si>
    <t xml:space="preserve">19  13  15  32  30  1  35</t>
  </si>
  <si>
    <t xml:space="preserve">3  17  1  15  19  3  24</t>
  </si>
  <si>
    <t xml:space="preserve">2  17  35  3  10  24  28  36  34</t>
  </si>
  <si>
    <t xml:space="preserve">2  26  35  39  4  24</t>
  </si>
  <si>
    <t xml:space="preserve">17  15  30  2  1  26  24  28  19</t>
  </si>
  <si>
    <t xml:space="preserve">3  2  17  24  26  30  13  14</t>
  </si>
  <si>
    <t xml:space="preserve">3  35  1  14  25  31  9</t>
  </si>
  <si>
    <t xml:space="preserve">2  19  31  25  18  34  35  36  38</t>
  </si>
  <si>
    <t xml:space="preserve">17  2  18  15  39  31  3</t>
  </si>
  <si>
    <t xml:space="preserve">15  3  35  1  30  40  2  25</t>
  </si>
  <si>
    <t xml:space="preserve">28  3  17  10  23  15  4  2</t>
  </si>
  <si>
    <t xml:space="preserve">15  17  25  13  1  16  19</t>
  </si>
  <si>
    <t xml:space="preserve">17  3  28  35  29  5  2  9</t>
  </si>
  <si>
    <t xml:space="preserve">35  15  10  25  1  28  2</t>
  </si>
  <si>
    <t xml:space="preserve">1  28  10  35  2  19</t>
  </si>
  <si>
    <t xml:space="preserve">3  35  14  29  19  1  5</t>
  </si>
  <si>
    <t xml:space="preserve">17  3  14  15  13  4  5  7  1</t>
  </si>
  <si>
    <t xml:space="preserve">28  1  3  2  33  13  22  27  35</t>
  </si>
  <si>
    <t xml:space="preserve">3  1  13  24  26  35  16  20</t>
  </si>
  <si>
    <t xml:space="preserve">35  2  13  25  14  32  1  5</t>
  </si>
  <si>
    <t xml:space="preserve">14  28  1  5  30  23  3  2</t>
  </si>
  <si>
    <t xml:space="preserve">10  2  26  17  15  19  34  38</t>
  </si>
  <si>
    <t xml:space="preserve">14  17  5  7  35  1  29  16  10</t>
  </si>
  <si>
    <t xml:space="preserve">35  3  5  25  1  28</t>
  </si>
  <si>
    <t xml:space="preserve">2   26  19  3  32  36  18  31</t>
  </si>
  <si>
    <t xml:space="preserve">3  32  26  25  1  10  37</t>
  </si>
  <si>
    <t xml:space="preserve">14  31  17  19  4  13  3  12</t>
  </si>
  <si>
    <t xml:space="preserve">35  14  31  30  17  4  18</t>
  </si>
  <si>
    <t xml:space="preserve">17  19  3  13  1  14</t>
  </si>
  <si>
    <t xml:space="preserve">17  14  3  4  7  9  24  13  26</t>
  </si>
  <si>
    <t xml:space="preserve">4  31  7  19  15  14  3  13</t>
  </si>
  <si>
    <t xml:space="preserve">17  18  14  7  30  13  26</t>
  </si>
  <si>
    <t xml:space="preserve">14  28  26  13  4  35  17</t>
  </si>
  <si>
    <t xml:space="preserve">17  5  4  7  28  26  14</t>
  </si>
  <si>
    <t xml:space="preserve">35  26  1  4  17  18  40</t>
  </si>
  <si>
    <t xml:space="preserve">26  17  2  13  30  35  7  24</t>
  </si>
  <si>
    <t xml:space="preserve">13  19  37  10  35  14  5</t>
  </si>
  <si>
    <t xml:space="preserve">10  2  30  25  13  37  26  5</t>
  </si>
  <si>
    <t xml:space="preserve">26  28  17  13  14  5  2  35  3</t>
  </si>
  <si>
    <t xml:space="preserve">14  1  35  3  18  17  36</t>
  </si>
  <si>
    <t xml:space="preserve">35  19  13  28  1</t>
  </si>
  <si>
    <t xml:space="preserve">35  40  17  13  2  28</t>
  </si>
  <si>
    <t xml:space="preserve">35  17  13  19  28  32  37  2</t>
  </si>
  <si>
    <t xml:space="preserve">15  35  9  17  14  3  40  37  36</t>
  </si>
  <si>
    <t xml:space="preserve">40  2  17  35  3  14  8  36</t>
  </si>
  <si>
    <t xml:space="preserve">35  24  29  10  14  38  2</t>
  </si>
  <si>
    <t xml:space="preserve">35  24  39  32  3  36  4</t>
  </si>
  <si>
    <t xml:space="preserve">1  40  24  35  17  3  32</t>
  </si>
  <si>
    <t xml:space="preserve">28  3  13  12  1  14  4  15  19  </t>
  </si>
  <si>
    <t xml:space="preserve">17  14  12  10  18  39  13  34</t>
  </si>
  <si>
    <t xml:space="preserve">14  1  10  35  17  18  3  25</t>
  </si>
  <si>
    <t xml:space="preserve">17  12  30  35  7  28  26</t>
  </si>
  <si>
    <t xml:space="preserve">2  16  7  17  32  3  24</t>
  </si>
  <si>
    <t xml:space="preserve">14  28  1  4  23  17  31</t>
  </si>
  <si>
    <t xml:space="preserve">35  31  17  1  7  18</t>
  </si>
  <si>
    <t xml:space="preserve">40  1  7  24  15  12  9  18  28</t>
  </si>
  <si>
    <t xml:space="preserve">15  4  28  29  32  35  37  3</t>
  </si>
  <si>
    <t xml:space="preserve">24  2  17  5  15  35</t>
  </si>
  <si>
    <t xml:space="preserve">10  4  24  25  26  16</t>
  </si>
  <si>
    <t xml:space="preserve">35  40  4  5  25  28  7  32</t>
  </si>
  <si>
    <t xml:space="preserve">1  16  32  17  13</t>
  </si>
  <si>
    <t xml:space="preserve">17  35  28  2  24</t>
  </si>
  <si>
    <t xml:space="preserve">35  7  14  3  32  28</t>
  </si>
  <si>
    <t xml:space="preserve">14  3  32  26  4  1</t>
  </si>
  <si>
    <t xml:space="preserve">35  39  24  1  2  33  37  12  3</t>
  </si>
  <si>
    <t xml:space="preserve">16  17  40  13  10  5  36  32</t>
  </si>
  <si>
    <t xml:space="preserve">35  2  29  36  18  32  24  25</t>
  </si>
  <si>
    <t xml:space="preserve">25  10  3  28  13  15</t>
  </si>
  <si>
    <t xml:space="preserve">10  17  7  15  25  29</t>
  </si>
  <si>
    <t xml:space="preserve">1  26  28  18  36  13  17</t>
  </si>
  <si>
    <t xml:space="preserve">25  10  3  19  15  13</t>
  </si>
  <si>
    <t xml:space="preserve">32  35  18  2  30  24  28</t>
  </si>
  <si>
    <t xml:space="preserve">28  3  32  26  37  18</t>
  </si>
  <si>
    <t xml:space="preserve">31  35  40  2  30  29  26  19</t>
  </si>
  <si>
    <t xml:space="preserve">31  40  35  26  2  13  30</t>
  </si>
  <si>
    <t xml:space="preserve">1  7  4  35  3  29  15  13  30</t>
  </si>
  <si>
    <t xml:space="preserve">7  15  4  3  1  35  19  10</t>
  </si>
  <si>
    <t xml:space="preserve">17  4  7 1  31  5  24  36  35</t>
  </si>
  <si>
    <t xml:space="preserve">17  14  4  3  31  7  35</t>
  </si>
  <si>
    <t xml:space="preserve">35  14  28  2  3  24  13</t>
  </si>
  <si>
    <t xml:space="preserve">15  1  14  19  29  14  38  25</t>
  </si>
  <si>
    <t xml:space="preserve">30  31  7  4  29  36</t>
  </si>
  <si>
    <t xml:space="preserve">10  2  28  7  32  3  15  26</t>
  </si>
  <si>
    <t xml:space="preserve">4  36  35  31  6  1  30  28  5</t>
  </si>
  <si>
    <t xml:space="preserve">30  31  1  35  4  28  38  5</t>
  </si>
  <si>
    <t xml:space="preserve">29  4  28  1  35  38  3  13  14</t>
  </si>
  <si>
    <t xml:space="preserve">15  1  35  3  36  4  14  37  19</t>
  </si>
  <si>
    <t xml:space="preserve">35  13  19  38  33  25  10</t>
  </si>
  <si>
    <t xml:space="preserve">35  38  33  19  10  25</t>
  </si>
  <si>
    <t xml:space="preserve">35  19  6  10  13  24  18  31  1</t>
  </si>
  <si>
    <t xml:space="preserve">35  9  3  40  1  3  10  36  37</t>
  </si>
  <si>
    <t xml:space="preserve">14  15  7  4  9  31  30  40  1  </t>
  </si>
  <si>
    <t xml:space="preserve">28  10  1  3  39  19  35  33  30</t>
  </si>
  <si>
    <t xml:space="preserve">10  39  18  31  34  1  2  3  24</t>
  </si>
  <si>
    <t xml:space="preserve">35  2  28  25  13  10  30  19</t>
  </si>
  <si>
    <t xml:space="preserve">28  10  13  25  34  2  5  35  1</t>
  </si>
  <si>
    <t xml:space="preserve">35  10  34  2  36  39  31  5  13  </t>
  </si>
  <si>
    <t xml:space="preserve">10  19  2  6  34  38  30  31</t>
  </si>
  <si>
    <t xml:space="preserve">28  15  4  38  7  3  19  13  9</t>
  </si>
  <si>
    <t xml:space="preserve">28  3  2  10  22  35  26  32</t>
  </si>
  <si>
    <t xml:space="preserve">31  1  3  23  13  14  4  1  35</t>
  </si>
  <si>
    <t xml:space="preserve">35  30  24  1  31  38</t>
  </si>
  <si>
    <t xml:space="preserve">2  30  40  36  25  22  31</t>
  </si>
  <si>
    <t xml:space="preserve">15  29  30  35  1  13  4  19</t>
  </si>
  <si>
    <t xml:space="preserve">13  15  6  10  33  1  3  28</t>
  </si>
  <si>
    <t xml:space="preserve">15  3  26  25  31  13  30  12  1</t>
  </si>
  <si>
    <t xml:space="preserve">1  28  3  14  40  11  35  25  33</t>
  </si>
  <si>
    <t xml:space="preserve">10  3  30  25  29  28  35</t>
  </si>
  <si>
    <t xml:space="preserve">28  10  15  1  3  5  26</t>
  </si>
  <si>
    <t xml:space="preserve">1  35  31  39  28  24  13  30</t>
  </si>
  <si>
    <t xml:space="preserve">3  32  15  4  14  24  5  13  9</t>
  </si>
  <si>
    <t xml:space="preserve">35  9  21  22  27  2  8  31  34</t>
  </si>
  <si>
    <t xml:space="preserve">1  10  3  24  40  29  34  13</t>
  </si>
  <si>
    <t xml:space="preserve">25  28  3  16  2  30  23  15</t>
  </si>
  <si>
    <t xml:space="preserve">24  3  35  34  16  10  31  30  13</t>
  </si>
  <si>
    <t xml:space="preserve">2  10  35  34  6  13  15  17  20</t>
  </si>
  <si>
    <t xml:space="preserve">1  2  35  26  15  29  5</t>
  </si>
  <si>
    <t xml:space="preserve">28  1  25  10  2  23  5  24</t>
  </si>
  <si>
    <t xml:space="preserve">26  24  5  4  29  35  28</t>
  </si>
  <si>
    <t xml:space="preserve">26  28  24  13  35  5</t>
  </si>
  <si>
    <t xml:space="preserve">Prinzip 12 - Äquipotentialprinzip</t>
  </si>
  <si>
    <t xml:space="preserve">31  30  40  35  3  2  4  19</t>
  </si>
  <si>
    <t xml:space="preserve">35  40  31  9  14  13  3  4  26</t>
  </si>
  <si>
    <t xml:space="preserve">14  30  15  3  4  35  2  19</t>
  </si>
  <si>
    <t xml:space="preserve">35  2  30  4  14  8  19  28  26</t>
  </si>
  <si>
    <t xml:space="preserve">15  14  4  30  13  3  7  28</t>
  </si>
  <si>
    <t xml:space="preserve">14  3  7  4  30  13  15  26  17</t>
  </si>
  <si>
    <t xml:space="preserve">14  35  3  13  28  2  30  7</t>
  </si>
  <si>
    <t xml:space="preserve">7  35  2  30  31  13</t>
  </si>
  <si>
    <t xml:space="preserve">35  3  31  40  5  13  17</t>
  </si>
  <si>
    <t xml:space="preserve">10  7  24  28  3  26  2</t>
  </si>
  <si>
    <t xml:space="preserve">35  19  1  38  15  34  28</t>
  </si>
  <si>
    <t xml:space="preserve">35  38  15  31  3  1  34</t>
  </si>
  <si>
    <t xml:space="preserve">35  40  2  38  28</t>
  </si>
  <si>
    <t xml:space="preserve">37  9  18  12  2  29  5</t>
  </si>
  <si>
    <t xml:space="preserve">35  19  2  40  31  13</t>
  </si>
  <si>
    <t xml:space="preserve">35  2  40  36  13  12</t>
  </si>
  <si>
    <t xml:space="preserve">35  28  6  30  2  40  24</t>
  </si>
  <si>
    <t xml:space="preserve">35  28  24  40  2  12</t>
  </si>
  <si>
    <t xml:space="preserve">13  14  9  17  40  5  12</t>
  </si>
  <si>
    <t xml:space="preserve">40  35  31  34  30  2  5  28</t>
  </si>
  <si>
    <t xml:space="preserve">3  26  4  35  15  6  19</t>
  </si>
  <si>
    <t xml:space="preserve">35  24  28  5  7  38</t>
  </si>
  <si>
    <t xml:space="preserve">1  7  28  5  2  19  12  37</t>
  </si>
  <si>
    <t xml:space="preserve">35  10  39  40  24  34  1  12</t>
  </si>
  <si>
    <t xml:space="preserve">10  35  18  1  26  32  16</t>
  </si>
  <si>
    <t xml:space="preserve">3  35  40  5  30  7</t>
  </si>
  <si>
    <t xml:space="preserve">7  32  14  24  17  26  3</t>
  </si>
  <si>
    <t xml:space="preserve">31  39  14  3  17  35  4  13</t>
  </si>
  <si>
    <t xml:space="preserve">1  31  35  5  36  2</t>
  </si>
  <si>
    <t xml:space="preserve">12  18  13  35  4  30  2  21  31</t>
  </si>
  <si>
    <t xml:space="preserve">31  28  6  29  2  13  32</t>
  </si>
  <si>
    <t xml:space="preserve">28  24  7  1  17  40</t>
  </si>
  <si>
    <t xml:space="preserve">7  26  24  17  1  15  28</t>
  </si>
  <si>
    <t xml:space="preserve">40  28  35  2  1  13  12  39</t>
  </si>
  <si>
    <t xml:space="preserve">17  1  3  35  27  25  32  13</t>
  </si>
  <si>
    <t xml:space="preserve">28  1  17  6  13  10  7</t>
  </si>
  <si>
    <t xml:space="preserve">5  40  12  7  31  24  39</t>
  </si>
  <si>
    <t xml:space="preserve">14  32  3  22  5  30</t>
  </si>
  <si>
    <t xml:space="preserve">39  24  19  27  22  40  2  4</t>
  </si>
  <si>
    <t xml:space="preserve">35  30  13  10  1  24  37</t>
  </si>
  <si>
    <t xml:space="preserve">25  35  10  3  24  26  1  9  16</t>
  </si>
  <si>
    <t xml:space="preserve">10  1  13  24  25  17</t>
  </si>
  <si>
    <t xml:space="preserve">10  2  35  31  37  30  3  33</t>
  </si>
  <si>
    <t xml:space="preserve">1  5  28  31  3  35</t>
  </si>
  <si>
    <t xml:space="preserve">28  37  2  12  10  32</t>
  </si>
  <si>
    <t xml:space="preserve">17  26  28  32  31  2</t>
  </si>
  <si>
    <t xml:space="preserve">10  32  35  25  2  24  26</t>
  </si>
  <si>
    <t xml:space="preserve">29  30  3  10  40  8  31  35</t>
  </si>
  <si>
    <t xml:space="preserve">15  3  10  31  26  35  40</t>
  </si>
  <si>
    <t xml:space="preserve">4  14  29  5  15  13  2  7</t>
  </si>
  <si>
    <t xml:space="preserve">17  14  4  13  5  7  31</t>
  </si>
  <si>
    <t xml:space="preserve">4  17  5  2  14  32</t>
  </si>
  <si>
    <t xml:space="preserve">17  14  5  28  2  32  4</t>
  </si>
  <si>
    <t xml:space="preserve">14  4  15  3  7  29  5  13</t>
  </si>
  <si>
    <t xml:space="preserve">14  4  7  1  2  35  5  32</t>
  </si>
  <si>
    <t xml:space="preserve">3  31  30  36  5  4  22</t>
  </si>
  <si>
    <t xml:space="preserve">17  7  3  32  24  1</t>
  </si>
  <si>
    <t xml:space="preserve">14  28  25  30  26  31  9</t>
  </si>
  <si>
    <t xml:space="preserve">3  30  28  35  13  5  22</t>
  </si>
  <si>
    <t xml:space="preserve">15  35  10  3  18  4  1</t>
  </si>
  <si>
    <t xml:space="preserve">14  17  35  9  2  3  12</t>
  </si>
  <si>
    <t xml:space="preserve">3  14  28  2  24  35  6  34</t>
  </si>
  <si>
    <t xml:space="preserve">35  14  15  31  3  7  24  1</t>
  </si>
  <si>
    <t xml:space="preserve">4  6  2  30  1  3  14  7</t>
  </si>
  <si>
    <t xml:space="preserve">3  14  9  15  2  4  35</t>
  </si>
  <si>
    <t xml:space="preserve">35  7  40  14  9  30  3</t>
  </si>
  <si>
    <t xml:space="preserve">35  40  24  31  1  18  33  4  </t>
  </si>
  <si>
    <t xml:space="preserve">31  19  2  32  24  15  1</t>
  </si>
  <si>
    <t xml:space="preserve">35  15  28  32  13  24  1</t>
  </si>
  <si>
    <t xml:space="preserve">2  29  28  5  40  3  31</t>
  </si>
  <si>
    <t xml:space="preserve">29  35  30  3  5  24  2</t>
  </si>
  <si>
    <t xml:space="preserve">10  28  5  34  24  17  26</t>
  </si>
  <si>
    <t xml:space="preserve">4  14  15  3  5  31  25</t>
  </si>
  <si>
    <t xml:space="preserve">17  2  7  15  28  32</t>
  </si>
  <si>
    <t xml:space="preserve">9  4  31  35  14  3  28</t>
  </si>
  <si>
    <t xml:space="preserve">35  1  17  7  19  24</t>
  </si>
  <si>
    <t xml:space="preserve">1  35  30  31  22  13  5  12</t>
  </si>
  <si>
    <t xml:space="preserve">35  1  28  29  15  3  31</t>
  </si>
  <si>
    <t xml:space="preserve">28  3  31  10  24</t>
  </si>
  <si>
    <t xml:space="preserve">32  26  25  37  15  3  29</t>
  </si>
  <si>
    <t xml:space="preserve">40  3  35  10  2  1  16</t>
  </si>
  <si>
    <t xml:space="preserve">17  13  1  2  35  22</t>
  </si>
  <si>
    <t xml:space="preserve">28  5  9  26  17</t>
  </si>
  <si>
    <t xml:space="preserve">40  17  13  31  30  3</t>
  </si>
  <si>
    <t xml:space="preserve">32  3  35  22  9  17</t>
  </si>
  <si>
    <t xml:space="preserve">35  24  2  33  39  40  16</t>
  </si>
  <si>
    <t xml:space="preserve">17  32  1  28  25  35</t>
  </si>
  <si>
    <t xml:space="preserve">30  32  40  22  2  25  35</t>
  </si>
  <si>
    <t xml:space="preserve">1  29  32  2  25  35</t>
  </si>
  <si>
    <t xml:space="preserve">13  17  10  26  12  35  1</t>
  </si>
  <si>
    <t xml:space="preserve">29  2  5  22  28  16</t>
  </si>
  <si>
    <t xml:space="preserve">28  37  24  7  31  2  25</t>
  </si>
  <si>
    <t xml:space="preserve">28  37  13  31  15  24  7</t>
  </si>
  <si>
    <t xml:space="preserve">28  1  37  32  26  3</t>
  </si>
  <si>
    <t xml:space="preserve">35  40  6  18  9  2  31  18</t>
  </si>
  <si>
    <t xml:space="preserve">35  40  18  5  2  8</t>
  </si>
  <si>
    <t xml:space="preserve">29  3  17  35  14  2  18  36  31</t>
  </si>
  <si>
    <t xml:space="preserve">35  31  3  17  14  2  40</t>
  </si>
  <si>
    <t xml:space="preserve">15  14  17  31  35  4  30  29  18  </t>
  </si>
  <si>
    <t xml:space="preserve">17  31  4  18  14  2  40</t>
  </si>
  <si>
    <t xml:space="preserve">2  15  28  18  38  24</t>
  </si>
  <si>
    <t xml:space="preserve">35  2  38  25  30  31  1</t>
  </si>
  <si>
    <t xml:space="preserve">35  7  14  3  31  38</t>
  </si>
  <si>
    <t xml:space="preserve">17  37  4  31  13</t>
  </si>
  <si>
    <t xml:space="preserve">35  40  34  10  3  7  18  19</t>
  </si>
  <si>
    <t xml:space="preserve">35  30  31  3  12  2</t>
  </si>
  <si>
    <t xml:space="preserve">28  35  29  24  34  3  38</t>
  </si>
  <si>
    <t xml:space="preserve">35  14  40  3  12  13  5</t>
  </si>
  <si>
    <t xml:space="preserve">19  3  34  35  16  13  2  18</t>
  </si>
  <si>
    <t xml:space="preserve">35  18  3  2  13  31</t>
  </si>
  <si>
    <t xml:space="preserve">35  19  18  3  12  5  2</t>
  </si>
  <si>
    <t xml:space="preserve">40  9  35  14  17  3  13  4  36</t>
  </si>
  <si>
    <t xml:space="preserve">14  17  9  35  40  3  12  13</t>
  </si>
  <si>
    <t xml:space="preserve">35  24  9  40  15  17  2</t>
  </si>
  <si>
    <t xml:space="preserve">35  31  1  17  3  14  39</t>
  </si>
  <si>
    <t xml:space="preserve">35  28  30  3  31  17</t>
  </si>
  <si>
    <t xml:space="preserve">3  30  1  35  38  24  18</t>
  </si>
  <si>
    <t xml:space="preserve">24  4  10  34  3  12  6  17</t>
  </si>
  <si>
    <t xml:space="preserve">3  25  19  1  16  38  18</t>
  </si>
  <si>
    <t xml:space="preserve">35  7  18  19  24  38</t>
  </si>
  <si>
    <t xml:space="preserve">15  28  35  24  7  37</t>
  </si>
  <si>
    <t xml:space="preserve">31  10  9  1  4  3</t>
  </si>
  <si>
    <t xml:space="preserve">1  35  21  24  22</t>
  </si>
  <si>
    <t xml:space="preserve">35  40  3  12  10  19  36  39  25</t>
  </si>
  <si>
    <t xml:space="preserve">1  15  17  29  24  3</t>
  </si>
  <si>
    <t xml:space="preserve">35  2  24  13  21  30</t>
  </si>
  <si>
    <t xml:space="preserve">3  10  25  35  7  2  32</t>
  </si>
  <si>
    <t xml:space="preserve">40  3  35  16  33  18  10</t>
  </si>
  <si>
    <t xml:space="preserve">25  10  2  32  17  4</t>
  </si>
  <si>
    <t xml:space="preserve">28  30  10  31  40  35</t>
  </si>
  <si>
    <t xml:space="preserve">35  24  3  12  31  39</t>
  </si>
  <si>
    <t xml:space="preserve">30  17  28  14  32  5</t>
  </si>
  <si>
    <t xml:space="preserve">35  3  31  33  24  29  23  11</t>
  </si>
  <si>
    <t xml:space="preserve">10  2  35  1  27  24  17  4  39  </t>
  </si>
  <si>
    <t xml:space="preserve">30  3  33  25  28  13  37</t>
  </si>
  <si>
    <t xml:space="preserve">35  1  10  8  9  39</t>
  </si>
  <si>
    <t xml:space="preserve">1  13  3  35  36  4  29  28</t>
  </si>
  <si>
    <t xml:space="preserve">13  1  10  27  6  3  17</t>
  </si>
  <si>
    <t xml:space="preserve">25  28  37  1  3  4</t>
  </si>
  <si>
    <t xml:space="preserve">28  18  32  24  37  4  19</t>
  </si>
  <si>
    <t xml:space="preserve">4  24  37  13  19  2  28</t>
  </si>
  <si>
    <t xml:space="preserve">28  17  13  7  1  35  2</t>
  </si>
  <si>
    <t xml:space="preserve">28  26  35  3  2</t>
  </si>
  <si>
    <t xml:space="preserve">7  32  13  17  2  3  14</t>
  </si>
  <si>
    <t xml:space="preserve">7  32  17  3  2  14</t>
  </si>
  <si>
    <t xml:space="preserve">7  17  32  2  24  3  28</t>
  </si>
  <si>
    <t xml:space="preserve">32  2  3  24  17  28</t>
  </si>
  <si>
    <t xml:space="preserve">7  19  26  3  32  24  28  2</t>
  </si>
  <si>
    <t xml:space="preserve">26  32  3  2  24  28</t>
  </si>
  <si>
    <t xml:space="preserve">7  17  3  32  26  28  13</t>
  </si>
  <si>
    <t xml:space="preserve">17  7  32  3  13  28  35</t>
  </si>
  <si>
    <t xml:space="preserve">7  3  2  10  13  12  24  19</t>
  </si>
  <si>
    <t xml:space="preserve">7  3  10  12  2  13  24</t>
  </si>
  <si>
    <t xml:space="preserve">10  7  13  37  3  28  12  5</t>
  </si>
  <si>
    <t xml:space="preserve">26  17  12  1  28</t>
  </si>
  <si>
    <t xml:space="preserve">7  10  3  12  2  6  24</t>
  </si>
  <si>
    <t xml:space="preserve">10  6  3  2  24</t>
  </si>
  <si>
    <t xml:space="preserve">7  10  3  2  6  24  12</t>
  </si>
  <si>
    <t xml:space="preserve">2  17  7  24  12  1  26</t>
  </si>
  <si>
    <t xml:space="preserve">2  17  7  12  1  26  24</t>
  </si>
  <si>
    <t xml:space="preserve">24  37  3  10  2  13  25</t>
  </si>
  <si>
    <t xml:space="preserve">2  13  10  19  17</t>
  </si>
  <si>
    <t xml:space="preserve">15  19  4  32</t>
  </si>
  <si>
    <t xml:space="preserve">2  7  19  28  3  13</t>
  </si>
  <si>
    <t xml:space="preserve">2  13  7  28  13  17</t>
  </si>
  <si>
    <t xml:space="preserve">2  7  3  19  13  28  17</t>
  </si>
  <si>
    <t xml:space="preserve">2  10  3  6  28  13</t>
  </si>
  <si>
    <t xml:space="preserve">15  19  7  32  4  37  1</t>
  </si>
  <si>
    <t xml:space="preserve">3  4  2  9  37  10</t>
  </si>
  <si>
    <t xml:space="preserve">28  2  10  5  3</t>
  </si>
  <si>
    <t xml:space="preserve">2  10  13  17  31  28  32</t>
  </si>
  <si>
    <t xml:space="preserve">3  24  4  1  29  25  31</t>
  </si>
  <si>
    <t xml:space="preserve">6  25  10  24  13</t>
  </si>
  <si>
    <t xml:space="preserve">25  10  17  6  19  13</t>
  </si>
  <si>
    <t xml:space="preserve">10  24  13  25  31</t>
  </si>
  <si>
    <t xml:space="preserve">25  1  24  13  17</t>
  </si>
  <si>
    <t xml:space="preserve">7  10  17  24  3  19</t>
  </si>
  <si>
    <t xml:space="preserve">2  37  10  13  1  24  19</t>
  </si>
  <si>
    <t xml:space="preserve">7  3  32  19  25  17</t>
  </si>
  <si>
    <t xml:space="preserve">1  11  28  15  2  27  13  31</t>
  </si>
  <si>
    <t xml:space="preserve">25  13  10  1  7  2  33</t>
  </si>
  <si>
    <t xml:space="preserve">13  3  10  37  2</t>
  </si>
  <si>
    <t xml:space="preserve">25  1  6  13  26</t>
  </si>
  <si>
    <t xml:space="preserve">2  25  19  3  10  13  37</t>
  </si>
  <si>
    <t xml:space="preserve">10  25  5  13  3  2  40</t>
  </si>
  <si>
    <t xml:space="preserve">25  40  10  3  7  2  4  5</t>
  </si>
  <si>
    <t xml:space="preserve">3  4  37  25  40  2</t>
  </si>
  <si>
    <t xml:space="preserve">37  3  17  28  24  4  13</t>
  </si>
  <si>
    <t xml:space="preserve">15 19  5  8  31  34  35</t>
  </si>
  <si>
    <t xml:space="preserve">35  3  31  34  8  4  2</t>
  </si>
  <si>
    <t xml:space="preserve">17  8  19  9  35  2  12  24</t>
  </si>
  <si>
    <t xml:space="preserve">3  17  12  9  35  2  19  13</t>
  </si>
  <si>
    <t xml:space="preserve">17  19  7  8  9  24  13</t>
  </si>
  <si>
    <t xml:space="preserve">3  17  9  24  12  19  13</t>
  </si>
  <si>
    <t xml:space="preserve">19  10  30  7  14  2  13</t>
  </si>
  <si>
    <t xml:space="preserve">10  30  35  12  13  4  2  3</t>
  </si>
  <si>
    <t xml:space="preserve">17  14  28  10  1  26  25</t>
  </si>
  <si>
    <t xml:space="preserve">3  40  17  35  6  10  13</t>
  </si>
  <si>
    <t xml:space="preserve">7  2  32  3  24  10  25</t>
  </si>
  <si>
    <t xml:space="preserve">10  2  24  20  13  4  17  6</t>
  </si>
  <si>
    <t xml:space="preserve">3  35  5  13  17  4  37  9</t>
  </si>
  <si>
    <t xml:space="preserve">19  2  16  13  15  12  9</t>
  </si>
  <si>
    <t xml:space="preserve">18  28  35  6  15  12</t>
  </si>
  <si>
    <t xml:space="preserve">35  6  18  28  19  12  </t>
  </si>
  <si>
    <t xml:space="preserve">19  18  35  10  38  13  12</t>
  </si>
  <si>
    <t xml:space="preserve">12  19  40  3  17  14  4  12</t>
  </si>
  <si>
    <t xml:space="preserve">35  3  17  14  12  27  4  19</t>
  </si>
  <si>
    <t xml:space="preserve">35  24  40  13  3  33  12  19</t>
  </si>
  <si>
    <t xml:space="preserve">19  35  13  3  36  17  39</t>
  </si>
  <si>
    <t xml:space="preserve">35  19  24  4  13  2  7</t>
  </si>
  <si>
    <t xml:space="preserve">13  1  19  12  3  29  28  15</t>
  </si>
  <si>
    <t xml:space="preserve">18  13  14  28  3  34  10  38</t>
  </si>
  <si>
    <t xml:space="preserve">28  3  19  10  24  5  16</t>
  </si>
  <si>
    <t xml:space="preserve">10  24  35  23  5  3</t>
  </si>
  <si>
    <t xml:space="preserve">10  24  25  3  7  5</t>
  </si>
  <si>
    <t xml:space="preserve">17  7  18  9  3  16  24</t>
  </si>
  <si>
    <t xml:space="preserve">1  4  14  18  3  7</t>
  </si>
  <si>
    <t xml:space="preserve">40  3  37  6  11  30  4  39  14</t>
  </si>
  <si>
    <t xml:space="preserve">7  13  30  35  1  17  4  40</t>
  </si>
  <si>
    <t xml:space="preserve">28  35  24  3  7  11  33  13</t>
  </si>
  <si>
    <t xml:space="preserve">10  25  24  12  1  26  37</t>
  </si>
  <si>
    <t xml:space="preserve">35  12  13  40  3  1</t>
  </si>
  <si>
    <t xml:space="preserve">3  10  17  19  7  34  13</t>
  </si>
  <si>
    <t xml:space="preserve">28  2  10  26  13</t>
  </si>
  <si>
    <t xml:space="preserve">10  37  3  24  19  12</t>
  </si>
  <si>
    <t xml:space="preserve">35  2  7  3  24  30</t>
  </si>
  <si>
    <t xml:space="preserve">21  28  15  24  33  10  30  39</t>
  </si>
  <si>
    <t xml:space="preserve">35  4  10  3  2  5  40</t>
  </si>
  <si>
    <t xml:space="preserve">3  16  40  10  37  12  25</t>
  </si>
  <si>
    <t xml:space="preserve">10  30  17  6  24  31  1  13</t>
  </si>
  <si>
    <t xml:space="preserve">10  35  19  3  14  17  15  40</t>
  </si>
  <si>
    <t xml:space="preserve">5  15  10  4  2  28  29  25</t>
  </si>
  <si>
    <t xml:space="preserve">5  28  26  20  37  4</t>
  </si>
  <si>
    <t xml:space="preserve">10  37  4  32  19  35  39  28</t>
  </si>
  <si>
    <t xml:space="preserve">3  17  24  10  26</t>
  </si>
  <si>
    <t xml:space="preserve">35  31  8  19  4  15  34</t>
  </si>
  <si>
    <t xml:space="preserve">35  6  2  31  19  3  34</t>
  </si>
  <si>
    <t xml:space="preserve">17  40  19  2  35  3  8</t>
  </si>
  <si>
    <t xml:space="preserve">40  35  1  9  17  2  13</t>
  </si>
  <si>
    <t xml:space="preserve">3  35  18  19  14  2</t>
  </si>
  <si>
    <t xml:space="preserve">35  17  3  30  7  14</t>
  </si>
  <si>
    <t xml:space="preserve">35  19  18  3  13  17  4  </t>
  </si>
  <si>
    <t xml:space="preserve">35  40  31  3  34  38  19  13</t>
  </si>
  <si>
    <t xml:space="preserve">17  3  40  14  33  13  10  7</t>
  </si>
  <si>
    <t xml:space="preserve">35  31  3  40  17  13  6</t>
  </si>
  <si>
    <t xml:space="preserve"> 24  7  10  25  3  2  32</t>
  </si>
  <si>
    <t xml:space="preserve">35  24  28  4  3  25  29  34</t>
  </si>
  <si>
    <t xml:space="preserve">35  28  29  3  4  14  13</t>
  </si>
  <si>
    <t xml:space="preserve">17  40  35  9  7  5</t>
  </si>
  <si>
    <t xml:space="preserve">13  25  40  24  3  27  35</t>
  </si>
  <si>
    <t xml:space="preserve">35  40  13  2  19  7  2  30</t>
  </si>
  <si>
    <t xml:space="preserve">35  2  13  16  40</t>
  </si>
  <si>
    <t xml:space="preserve">17  4  40  12  14  13</t>
  </si>
  <si>
    <t xml:space="preserve">35  3  9  17  14  4  19  27</t>
  </si>
  <si>
    <t xml:space="preserve">5  35  39  3  12  24  31  </t>
  </si>
  <si>
    <t xml:space="preserve">19  24  35  40  36  15  16</t>
  </si>
  <si>
    <t xml:space="preserve">35  40  24  2  19  7  13</t>
  </si>
  <si>
    <t xml:space="preserve">3  19  12  15  13  1</t>
  </si>
  <si>
    <t xml:space="preserve">35  10  17  4  7  18  16  4</t>
  </si>
  <si>
    <t xml:space="preserve">3  24  10  14  5  28  16</t>
  </si>
  <si>
    <t xml:space="preserve">10  12  35  40  34  24  19</t>
  </si>
  <si>
    <t xml:space="preserve">10  7  2  24  25  19  35</t>
  </si>
  <si>
    <t xml:space="preserve">31  35  24  14  5  30</t>
  </si>
  <si>
    <t xml:space="preserve">1  3  14  18  4  17  7  </t>
  </si>
  <si>
    <t xml:space="preserve">35  14  40  3  39  13  33</t>
  </si>
  <si>
    <t xml:space="preserve">13  5  4  17  2  35  40</t>
  </si>
  <si>
    <t xml:space="preserve">10  24  17  28  11  3</t>
  </si>
  <si>
    <t xml:space="preserve">25  1  3  10  37  13  24</t>
  </si>
  <si>
    <t xml:space="preserve">35  3  9  40  13  30  36</t>
  </si>
  <si>
    <t xml:space="preserve">3  10  19  1  28  13</t>
  </si>
  <si>
    <t xml:space="preserve">28  26  10  2  24</t>
  </si>
  <si>
    <t xml:space="preserve">10  37  24  3  12</t>
  </si>
  <si>
    <t xml:space="preserve">35  2  3  24  30</t>
  </si>
  <si>
    <t xml:space="preserve">1  35  33  39  40  24  10  17</t>
  </si>
  <si>
    <t xml:space="preserve">35  10  40  5  13  2</t>
  </si>
  <si>
    <t xml:space="preserve">40  37  25  3  16  13</t>
  </si>
  <si>
    <t xml:space="preserve">1  17  13  24  6  31</t>
  </si>
  <si>
    <t xml:space="preserve">10  40  38  16  3  20  35</t>
  </si>
  <si>
    <t xml:space="preserve">5  10  2  25  4  17  14</t>
  </si>
  <si>
    <t xml:space="preserve">28  37  4  20  5  6</t>
  </si>
  <si>
    <t xml:space="preserve">32  35  25  6  4  37  39  28</t>
  </si>
  <si>
    <t xml:space="preserve">10  26  24  37  4  3</t>
  </si>
  <si>
    <t xml:space="preserve">13  14  8  28  1  17  2  38</t>
  </si>
  <si>
    <t xml:space="preserve">1  13  2  10  35  3</t>
  </si>
  <si>
    <t xml:space="preserve">13  17  28  2  29  14  1</t>
  </si>
  <si>
    <t xml:space="preserve">17  15  30  2  14  1</t>
  </si>
  <si>
    <t xml:space="preserve">17  14  4  1  29  30  3  5  34</t>
  </si>
  <si>
    <t xml:space="preserve">14  5  3  17  1  4  13</t>
  </si>
  <si>
    <t xml:space="preserve">28  2  7  34  35  5  14  4</t>
  </si>
  <si>
    <t xml:space="preserve">28  5  2  35  7  9  1  18</t>
  </si>
  <si>
    <t xml:space="preserve">17  7  15  18  35  3  4  2</t>
  </si>
  <si>
    <t xml:space="preserve">2  35  19  5  10  38  9</t>
  </si>
  <si>
    <t xml:space="preserve"> 7  2  10  5  37  28  3</t>
  </si>
  <si>
    <t xml:space="preserve">35  40  19  3  5  13</t>
  </si>
  <si>
    <t xml:space="preserve">3  13  35  5  2  24</t>
  </si>
  <si>
    <t xml:space="preserve">19  13  15  28  29  3  18  5  17</t>
  </si>
  <si>
    <t xml:space="preserve">35  28  38  19  12  15</t>
  </si>
  <si>
    <t xml:space="preserve">35  19  28  12  38</t>
  </si>
  <si>
    <t xml:space="preserve">19  35  13  36  2  28  38</t>
  </si>
  <si>
    <t xml:space="preserve">28  14  6  40  38  18  12  35</t>
  </si>
  <si>
    <t xml:space="preserve">28  8  3  14  5  40  26</t>
  </si>
  <si>
    <t xml:space="preserve">28  2  3  5  33  18</t>
  </si>
  <si>
    <t xml:space="preserve">28  36  31  3  40  2  30</t>
  </si>
  <si>
    <t xml:space="preserve">19  35  13  10  24  32  26</t>
  </si>
  <si>
    <t xml:space="preserve">35  13  10  24  19  3  4  1  20</t>
  </si>
  <si>
    <t xml:space="preserve">28  35  13  10  1  3  38</t>
  </si>
  <si>
    <t xml:space="preserve">13  5  10  3  1  25  19</t>
  </si>
  <si>
    <t xml:space="preserve">19  1  35  14  20  5  13</t>
  </si>
  <si>
    <t xml:space="preserve">10  7  6  24  26  37  3</t>
  </si>
  <si>
    <t xml:space="preserve">3  14  28  9  5  17  24</t>
  </si>
  <si>
    <t xml:space="preserve">19  18  1  24  3  35</t>
  </si>
  <si>
    <t xml:space="preserve">35  21  2  24  33  28  11  16  34</t>
  </si>
  <si>
    <t xml:space="preserve">15  10  28  26  1  30  35</t>
  </si>
  <si>
    <t xml:space="preserve">7  19  6  24  3  2</t>
  </si>
  <si>
    <t xml:space="preserve">28  37  13  25  32  15  17</t>
  </si>
  <si>
    <t xml:space="preserve">35  28  23  24  2  11  40</t>
  </si>
  <si>
    <t xml:space="preserve">28  2  34  13  23  27  1</t>
  </si>
  <si>
    <t xml:space="preserve">28  24  10  2  19  32</t>
  </si>
  <si>
    <t xml:space="preserve">31  35  11  13  3  7  40</t>
  </si>
  <si>
    <t xml:space="preserve">14  3  32  22  17  4</t>
  </si>
  <si>
    <t xml:space="preserve">28  35  19  4  11  22  18  21</t>
  </si>
  <si>
    <t xml:space="preserve">35  13  28  1  8  29  17</t>
  </si>
  <si>
    <t xml:space="preserve">28  10  25  12  16  35  24</t>
  </si>
  <si>
    <t xml:space="preserve">10  28  2  13  17  24</t>
  </si>
  <si>
    <t xml:space="preserve">2  3  28  10  13  35  24</t>
  </si>
  <si>
    <t xml:space="preserve">5  28  4  10  13  34  40  30</t>
  </si>
  <si>
    <t xml:space="preserve">25  10  19  1  4  13</t>
  </si>
  <si>
    <t xml:space="preserve">3  26  24  16  28  34  27</t>
  </si>
  <si>
    <t xml:space="preserve">28  25  24  32  1  13  17  26</t>
  </si>
  <si>
    <t xml:space="preserve">8  1  9  13  37  28  31  35  18</t>
  </si>
  <si>
    <t xml:space="preserve">9  13  28  1  35  40  18</t>
  </si>
  <si>
    <t xml:space="preserve">17  35  9  3  14  19  28  36  29</t>
  </si>
  <si>
    <t xml:space="preserve">35  28  17  9  17  40  10  37</t>
  </si>
  <si>
    <t xml:space="preserve">15  17  10  14  19  3  29  39  40</t>
  </si>
  <si>
    <t xml:space="preserve">1  3  17  40  37  18  9  35</t>
  </si>
  <si>
    <t xml:space="preserve">12  15  9  35  37  14  4</t>
  </si>
  <si>
    <t xml:space="preserve">1  18  37  35  3  2  10  36</t>
  </si>
  <si>
    <t xml:space="preserve">35  10  3  40  31  34  4  14</t>
  </si>
  <si>
    <t xml:space="preserve">14  18  29  28  35  3  1  8  36</t>
  </si>
  <si>
    <t xml:space="preserve">13  17  37  3  1  </t>
  </si>
  <si>
    <t xml:space="preserve">19  10  2  12  28</t>
  </si>
  <si>
    <t xml:space="preserve">2  10  13  3  12  19  26</t>
  </si>
  <si>
    <t xml:space="preserve">13  15  9  28  12  2</t>
  </si>
  <si>
    <t xml:space="preserve">19  17  35  10  2  8  3  24</t>
  </si>
  <si>
    <t xml:space="preserve">1  35  10  19  8  17  37</t>
  </si>
  <si>
    <t xml:space="preserve">19  35  37  17  1  28  18</t>
  </si>
  <si>
    <t xml:space="preserve">21  18  9  40  12  2  24  17  3</t>
  </si>
  <si>
    <t xml:space="preserve">35  14  9  3  17  5  27  7</t>
  </si>
  <si>
    <t xml:space="preserve">35  10  24  21  1  13  12  37</t>
  </si>
  <si>
    <t xml:space="preserve">35  36  21  10  24  31</t>
  </si>
  <si>
    <t xml:space="preserve">13  2  19  35  24  5  3</t>
  </si>
  <si>
    <t xml:space="preserve">19  35  6  13  34  15</t>
  </si>
  <si>
    <t xml:space="preserve">3  35  40  12  17  5  28</t>
  </si>
  <si>
    <t xml:space="preserve">10  3  23  37  25  5</t>
  </si>
  <si>
    <t xml:space="preserve">19  15  2  5  14  35  34</t>
  </si>
  <si>
    <t xml:space="preserve">37  32  7  24  1  13  10</t>
  </si>
  <si>
    <t xml:space="preserve">13  9  24  12  10  5  7  14</t>
  </si>
  <si>
    <t xml:space="preserve">15  2  35  5  21  3  13</t>
  </si>
  <si>
    <t xml:space="preserve">3  13  24  14  17  29  23  40  12</t>
  </si>
  <si>
    <t xml:space="preserve">15  17  3  19  29  35  4  18  24</t>
  </si>
  <si>
    <t xml:space="preserve">28  5  6  25  24</t>
  </si>
  <si>
    <t xml:space="preserve">1  28  25  4  3  19  29  17  10</t>
  </si>
  <si>
    <t xml:space="preserve">14  35  1  13  24  3  40</t>
  </si>
  <si>
    <t xml:space="preserve">15  17  1  13  2</t>
  </si>
  <si>
    <t xml:space="preserve">10  28  3  13  15  1</t>
  </si>
  <si>
    <t xml:space="preserve">2  12  31  39  11  17  24</t>
  </si>
  <si>
    <t xml:space="preserve">14  3  7  12  35  31  30</t>
  </si>
  <si>
    <t xml:space="preserve">10  35  40  22  17  15  33  21  39</t>
  </si>
  <si>
    <t xml:space="preserve">15  18  35  6  37  16  10</t>
  </si>
  <si>
    <t xml:space="preserve">28  29  5  37  36  12  13  17  25</t>
  </si>
  <si>
    <t xml:space="preserve">2  10  35  13  25</t>
  </si>
  <si>
    <t xml:space="preserve">35  28  3  10  37  25  5</t>
  </si>
  <si>
    <t xml:space="preserve">5  10  35  4  28  18  14  26</t>
  </si>
  <si>
    <t xml:space="preserve">37  10  28  25  3  13  2</t>
  </si>
  <si>
    <t xml:space="preserve">37  10  19  3  28  29  36</t>
  </si>
  <si>
    <t xml:space="preserve">24  37  32  3  28  10</t>
  </si>
  <si>
    <t xml:space="preserve">28  35  19  12  31  18  5</t>
  </si>
  <si>
    <t xml:space="preserve">28  35  5  12  18  31  13</t>
  </si>
  <si>
    <t xml:space="preserve">28  12  15  35  17  19</t>
  </si>
  <si>
    <t xml:space="preserve">35  2  19  15  28</t>
  </si>
  <si>
    <t xml:space="preserve">15  19  4  3  25  14</t>
  </si>
  <si>
    <t xml:space="preserve">35  2  17  14  15  3</t>
  </si>
  <si>
    <t xml:space="preserve">13  35  18  29  2  17  25</t>
  </si>
  <si>
    <t xml:space="preserve">3  25  34  38  35  7  2</t>
  </si>
  <si>
    <t xml:space="preserve">29  2  3  12  19  15  28</t>
  </si>
  <si>
    <t xml:space="preserve">35  2  34  19  18  16  38  30</t>
  </si>
  <si>
    <t xml:space="preserve"> 7  2  25  24  3  37</t>
  </si>
  <si>
    <t xml:space="preserve">18  28  35  6  15  12  10</t>
  </si>
  <si>
    <t xml:space="preserve">28  2  35  13  6  12  10  19</t>
  </si>
  <si>
    <t xml:space="preserve">35  28  13  19  5  8</t>
  </si>
  <si>
    <t xml:space="preserve">21  2  19  35  26  16  18  24  3</t>
  </si>
  <si>
    <t xml:space="preserve">15  28  13  2  35</t>
  </si>
  <si>
    <t xml:space="preserve">19  6  34  37  18  7  15</t>
  </si>
  <si>
    <t xml:space="preserve">14  25  15  17  28  37  7  3  19</t>
  </si>
  <si>
    <t xml:space="preserve">19  35  5  9  29  28  12</t>
  </si>
  <si>
    <t xml:space="preserve">13  19  24  17  5  39  35</t>
  </si>
  <si>
    <t xml:space="preserve">24  19  36  2  3  14  4</t>
  </si>
  <si>
    <t xml:space="preserve">35  19  24  5  14  3  25</t>
  </si>
  <si>
    <t xml:space="preserve">2  13  28  12  10  15  3  6</t>
  </si>
  <si>
    <t xml:space="preserve">28  35  5  3  18  24</t>
  </si>
  <si>
    <t xml:space="preserve">10  18  28  5  35  38  20</t>
  </si>
  <si>
    <t xml:space="preserve">19  15  12  28  24  21  34  13</t>
  </si>
  <si>
    <t xml:space="preserve">13  24  7  22  37  2</t>
  </si>
  <si>
    <t xml:space="preserve">17  14  4  7  5  9  31</t>
  </si>
  <si>
    <t xml:space="preserve">1  24  19  21  4  15  2</t>
  </si>
  <si>
    <t xml:space="preserve">35  2  11  16  6  39  25  3</t>
  </si>
  <si>
    <t xml:space="preserve">24  15  13  29  28  17  30  7</t>
  </si>
  <si>
    <t xml:space="preserve">10  24  28  1  13</t>
  </si>
  <si>
    <t xml:space="preserve">28  3  35  1  26  19 </t>
  </si>
  <si>
    <t xml:space="preserve">13  21  10  35  15  28</t>
  </si>
  <si>
    <t xml:space="preserve">1  17  28  10  15  13</t>
  </si>
  <si>
    <t xml:space="preserve">10  28  5  24  13</t>
  </si>
  <si>
    <t xml:space="preserve">12  39  35  31  30  11  24</t>
  </si>
  <si>
    <t xml:space="preserve">17  7  4  3  32</t>
  </si>
  <si>
    <t xml:space="preserve">2  10  3  22  37  34  9  7</t>
  </si>
  <si>
    <t xml:space="preserve">28  5  30  10  40  26  8  2</t>
  </si>
  <si>
    <t xml:space="preserve">10  25  12  24  26  3</t>
  </si>
  <si>
    <t xml:space="preserve">2  10  13  5  17  15  3  32</t>
  </si>
  <si>
    <t xml:space="preserve">35  28  24  25  12  10  1</t>
  </si>
  <si>
    <t xml:space="preserve">5  2  28  27  12  13</t>
  </si>
  <si>
    <t xml:space="preserve">3  5  25  10  37  13  1</t>
  </si>
  <si>
    <t xml:space="preserve">10  37  3  25  13  7</t>
  </si>
  <si>
    <t xml:space="preserve">37  3  5  28  8  30  32</t>
  </si>
  <si>
    <t xml:space="preserve">35  28  13  8  3  19</t>
  </si>
  <si>
    <t xml:space="preserve">19  13  35  9  28  6</t>
  </si>
  <si>
    <t xml:space="preserve">17  4  12  3  24  14</t>
  </si>
  <si>
    <t xml:space="preserve">4  17  9  19  3  16</t>
  </si>
  <si>
    <t xml:space="preserve">3  4  13  5  12  24</t>
  </si>
  <si>
    <t xml:space="preserve">4  17  3  14  16  19</t>
  </si>
  <si>
    <t xml:space="preserve">2  35  13  19  13  18  28  4</t>
  </si>
  <si>
    <t xml:space="preserve">35  39  19  2  18  28  4  9</t>
  </si>
  <si>
    <t xml:space="preserve">7  35  24  30  13  5  10  36</t>
  </si>
  <si>
    <t xml:space="preserve">35  31  3  24  28  13  4  9</t>
  </si>
  <si>
    <t xml:space="preserve"> 2  19  17  20  7</t>
  </si>
  <si>
    <t xml:space="preserve">40  35  3  19  4  28  24</t>
  </si>
  <si>
    <t xml:space="preserve">40  35  3  17  28  26  24</t>
  </si>
  <si>
    <t xml:space="preserve">1  3  28  19  13  25</t>
  </si>
  <si>
    <t xml:space="preserve">9  36  37  35  5  17</t>
  </si>
  <si>
    <t xml:space="preserve">2  19  3  13  5</t>
  </si>
  <si>
    <t xml:space="preserve">2  5  19  13  35</t>
  </si>
  <si>
    <t xml:space="preserve">17  9  4  19  35  40  14</t>
  </si>
  <si>
    <t xml:space="preserve">35  40  14  3  2  13  17</t>
  </si>
  <si>
    <t xml:space="preserve">35  4  24  40  17  14  18  1</t>
  </si>
  <si>
    <t xml:space="preserve">3  2  35  19  21  36</t>
  </si>
  <si>
    <t xml:space="preserve">19  35  2  32  5  24</t>
  </si>
  <si>
    <t xml:space="preserve">2  19  15  13  12  28  25</t>
  </si>
  <si>
    <t xml:space="preserve">31  28   18  12  4  9  34</t>
  </si>
  <si>
    <t xml:space="preserve">4  10  40  7  9  17</t>
  </si>
  <si>
    <t xml:space="preserve">35  31  1  4  24  34  36</t>
  </si>
  <si>
    <t xml:space="preserve">2  10  7  13  3</t>
  </si>
  <si>
    <t xml:space="preserve">31  14  25  17  3  4  1</t>
  </si>
  <si>
    <t xml:space="preserve">21  35  24  3  1  18  13</t>
  </si>
  <si>
    <t xml:space="preserve">19  3  15  18  4  24  28  12</t>
  </si>
  <si>
    <t xml:space="preserve">35  15  13  17  1</t>
  </si>
  <si>
    <t xml:space="preserve">24  3  35  12  33  13  28</t>
  </si>
  <si>
    <t xml:space="preserve">13  15  24  10  11  3</t>
  </si>
  <si>
    <t xml:space="preserve">35  10  13  25  3  2  36</t>
  </si>
  <si>
    <t xml:space="preserve">35  17  1  27  3</t>
  </si>
  <si>
    <t xml:space="preserve">28  10  23  2  13  30</t>
  </si>
  <si>
    <t xml:space="preserve">24  3  16  30  26  39  25</t>
  </si>
  <si>
    <t xml:space="preserve">17  4  3  7  32  30</t>
  </si>
  <si>
    <t xml:space="preserve">2  9  3  37  19  7  37  4  36</t>
  </si>
  <si>
    <t xml:space="preserve">4  8  1  10  2</t>
  </si>
  <si>
    <t xml:space="preserve">37  10  3  2  13  17</t>
  </si>
  <si>
    <t xml:space="preserve">10  2  8  34  35</t>
  </si>
  <si>
    <t xml:space="preserve">1  10  6  35  34  7</t>
  </si>
  <si>
    <t xml:space="preserve">35  28  4  3  13  16  34</t>
  </si>
  <si>
    <t xml:space="preserve">2  25  18  10  30  28</t>
  </si>
  <si>
    <t xml:space="preserve">28  19  35  25  4  17</t>
  </si>
  <si>
    <t xml:space="preserve">28  37  4  18  24</t>
  </si>
  <si>
    <t xml:space="preserve">8  38  2  25  31  19  28  35</t>
  </si>
  <si>
    <t xml:space="preserve">19  2  35  31  26  28  29  17  27</t>
  </si>
  <si>
    <t xml:space="preserve">1  17  35  10  37  36  28  30  29</t>
  </si>
  <si>
    <t xml:space="preserve">17  14  1  35  4  10  28  29  30</t>
  </si>
  <si>
    <t xml:space="preserve">19  38  35  2  25  3  15  4</t>
  </si>
  <si>
    <t xml:space="preserve">17  19  38  13  3  15  25  32  2</t>
  </si>
  <si>
    <t xml:space="preserve">19  38  2  35  25  6  15  4  14</t>
  </si>
  <si>
    <t xml:space="preserve">19  35  25  36  6  30  15  3  14</t>
  </si>
  <si>
    <t xml:space="preserve">29  14  15  1  35  40  4  3  36</t>
  </si>
  <si>
    <t xml:space="preserve">35  19  38  4  3  40  18  24  30</t>
  </si>
  <si>
    <t xml:space="preserve">10 28  19  12  24  37</t>
  </si>
  <si>
    <t xml:space="preserve">19  35  10  38  4  28  1  21</t>
  </si>
  <si>
    <t xml:space="preserve">38  35  10  4  28  19  16</t>
  </si>
  <si>
    <t xml:space="preserve">15  2  19  35  3  14  24  1  13</t>
  </si>
  <si>
    <t xml:space="preserve">2  19  15  35  36  1  3  13  14</t>
  </si>
  <si>
    <t xml:space="preserve">19  6  37  36  15  3  2  16  4  1</t>
  </si>
  <si>
    <t xml:space="preserve">19  15  3  2  6  16  37  1</t>
  </si>
  <si>
    <t xml:space="preserve">35  10  3  30  14  4  2  28  27</t>
  </si>
  <si>
    <t xml:space="preserve">28  40  31  10  35  26  13</t>
  </si>
  <si>
    <t xml:space="preserve">35  31  1  15  40  32  19  10  3</t>
  </si>
  <si>
    <t xml:space="preserve">19  5  3  2  36  25  14  32  13</t>
  </si>
  <si>
    <t xml:space="preserve">19  35  25  28  7  31  3  16  23</t>
  </si>
  <si>
    <t xml:space="preserve">2  28  14  15  3  6  24</t>
  </si>
  <si>
    <t xml:space="preserve">30  1  28  29  12  34  38  18  27</t>
  </si>
  <si>
    <t xml:space="preserve">10  15  35  6  19  20  4  12</t>
  </si>
  <si>
    <t xml:space="preserve">15  35  1  38  10  14  3  24</t>
  </si>
  <si>
    <t xml:space="preserve">10  19  24  28  1  3  25</t>
  </si>
  <si>
    <t xml:space="preserve">24  28  13  3  14  39  5  25</t>
  </si>
  <si>
    <t xml:space="preserve">1  3  35  15  19  2  14  10  25</t>
  </si>
  <si>
    <t xml:space="preserve">1  18  2  35  28  13  15  3  39</t>
  </si>
  <si>
    <t xml:space="preserve">15  28  19  35  3  34  17  37  12</t>
  </si>
  <si>
    <t xml:space="preserve">24  28  15  13  12  11  7  2</t>
  </si>
  <si>
    <t xml:space="preserve">26  10  35  25  24  2  37  12</t>
  </si>
  <si>
    <t xml:space="preserve">35  2  3  24  28  12  37  19  31</t>
  </si>
  <si>
    <t xml:space="preserve">10  2  35  1  27  34  3  12  15</t>
  </si>
  <si>
    <t xml:space="preserve">10  28  1  23  5</t>
  </si>
  <si>
    <t xml:space="preserve">35  19  11  25  31  30  17  12  8</t>
  </si>
  <si>
    <t xml:space="preserve">28  15  14  22  4  32  24</t>
  </si>
  <si>
    <t xml:space="preserve">39  2  19  31  22  9  16  12  36</t>
  </si>
  <si>
    <t xml:space="preserve">10  28  26  21  34  25  24  29  8</t>
  </si>
  <si>
    <t xml:space="preserve">2  3  10  14  32  15  12</t>
  </si>
  <si>
    <t xml:space="preserve">28  2  13  24  27  17</t>
  </si>
  <si>
    <t xml:space="preserve">28  1  35  14  34  2  3</t>
  </si>
  <si>
    <t xml:space="preserve">35  30  19  20  2  34  13  28</t>
  </si>
  <si>
    <t xml:space="preserve">2  25  15  26  28  20</t>
  </si>
  <si>
    <t xml:space="preserve">28  35  19  3  16  32  37  25  2</t>
  </si>
  <si>
    <t xml:space="preserve">2  37  15  25  10  32</t>
  </si>
  <si>
    <t xml:space="preserve">40  35  31  10  36  37  2  17</t>
  </si>
  <si>
    <t xml:space="preserve">35  10  13  31  29  40  2  17</t>
  </si>
  <si>
    <t xml:space="preserve">35  9  40  17  3  14  4  13</t>
  </si>
  <si>
    <t xml:space="preserve">3  14  17  35  40  4  9  1</t>
  </si>
  <si>
    <t xml:space="preserve">10  35  40  14  17  28  15  3</t>
  </si>
  <si>
    <t xml:space="preserve">40  14  35  10  37  17  3</t>
  </si>
  <si>
    <t xml:space="preserve">35  10  40  3  15  14  4  17</t>
  </si>
  <si>
    <t xml:space="preserve">35  17  4  40  3  30  24  14</t>
  </si>
  <si>
    <t xml:space="preserve">35  4  40  3  30  14  31  15</t>
  </si>
  <si>
    <t xml:space="preserve">35  10  25  31  14  13  12  5</t>
  </si>
  <si>
    <t xml:space="preserve">28  2  26  7  24   </t>
  </si>
  <si>
    <t xml:space="preserve">19  3  35  4  13  14  2</t>
  </si>
  <si>
    <t xml:space="preserve">3  14  35  9  2  5  12</t>
  </si>
  <si>
    <t xml:space="preserve">35  17  24  13  6  14  29  36</t>
  </si>
  <si>
    <t xml:space="preserve">35  17  14  9  12  4  36</t>
  </si>
  <si>
    <t xml:space="preserve">10  17  14  24  12  37  29  35</t>
  </si>
  <si>
    <t xml:space="preserve">17  14  10  35  4  12  24  37</t>
  </si>
  <si>
    <t xml:space="preserve">35  29  10  17  14  28  4  1</t>
  </si>
  <si>
    <t xml:space="preserve">3  17  40  9  35  19  1  36</t>
  </si>
  <si>
    <t xml:space="preserve">35  5  40  2  33  31  12</t>
  </si>
  <si>
    <t xml:space="preserve">35  3  19  2  39  31  36</t>
  </si>
  <si>
    <t xml:space="preserve">24  12  22  35  2  19</t>
  </si>
  <si>
    <t xml:space="preserve">2  40  13  17  5  18  8</t>
  </si>
  <si>
    <t xml:space="preserve">10  25  3  4  17  37  24  36</t>
  </si>
  <si>
    <t xml:space="preserve">1  4  37  13  10  26</t>
  </si>
  <si>
    <t xml:space="preserve">3  25  2  35  12  17  30</t>
  </si>
  <si>
    <t xml:space="preserve">37  28  2  7  24</t>
  </si>
  <si>
    <t xml:space="preserve">31  35  40  14  4  29  9</t>
  </si>
  <si>
    <t xml:space="preserve">35  24  2  1  21  31  19</t>
  </si>
  <si>
    <t xml:space="preserve">2  33  25  35  18  17  31  24</t>
  </si>
  <si>
    <t xml:space="preserve">15  35  17  13  3  30  31</t>
  </si>
  <si>
    <t xml:space="preserve">25  10  6  28  4  17</t>
  </si>
  <si>
    <t xml:space="preserve">17  3  19  28  26  1  14</t>
  </si>
  <si>
    <t xml:space="preserve">40  13  35  19  4  25  9  12  28</t>
  </si>
  <si>
    <t xml:space="preserve">2  17  10  25  27</t>
  </si>
  <si>
    <t xml:space="preserve">2  28  24  10  1</t>
  </si>
  <si>
    <t xml:space="preserve">31  40  35  4  24  37</t>
  </si>
  <si>
    <t xml:space="preserve">17  7  4  40  3</t>
  </si>
  <si>
    <t xml:space="preserve">3  12  4  25  33  10  13</t>
  </si>
  <si>
    <t xml:space="preserve">2  1  35  17  16  31  8</t>
  </si>
  <si>
    <t xml:space="preserve">3  25  2  35  12  32</t>
  </si>
  <si>
    <t xml:space="preserve">10  35  25  12  2  40</t>
  </si>
  <si>
    <t xml:space="preserve">10  40  25  24  14  35  37</t>
  </si>
  <si>
    <t xml:space="preserve">17  5  2  24  35  19</t>
  </si>
  <si>
    <t xml:space="preserve">28  32  4  37  6  3</t>
  </si>
  <si>
    <t xml:space="preserve">37  17  4  32  2  3  36  28</t>
  </si>
  <si>
    <t xml:space="preserve">37  25  17  28  3  6  4</t>
  </si>
  <si>
    <t xml:space="preserve">40  31  17  8  1  35  3  4</t>
  </si>
  <si>
    <t xml:space="preserve">40  31  2  1  17  26  35  3</t>
  </si>
  <si>
    <t xml:space="preserve">17  35  40  1  4  15  8</t>
  </si>
  <si>
    <t xml:space="preserve">17  35  9  37  14  4  40  15</t>
  </si>
  <si>
    <t xml:space="preserve">14  17  3  7  19  4  40  5</t>
  </si>
  <si>
    <t xml:space="preserve">14  17  9  40  3  4  13</t>
  </si>
  <si>
    <t xml:space="preserve">4  7  17  14  35  10  15  31</t>
  </si>
  <si>
    <t xml:space="preserve">14  9  17  4  31  13  35</t>
  </si>
  <si>
    <t xml:space="preserve">40  4  9  35  7  17  30  25</t>
  </si>
  <si>
    <t xml:space="preserve">30  17  31  9  13  29  3</t>
  </si>
  <si>
    <t xml:space="preserve">17  2  32  3  28  26</t>
  </si>
  <si>
    <t xml:space="preserve">35  40  3  26  17  4  13</t>
  </si>
  <si>
    <t xml:space="preserve">35  3  5  24  26  4  13  40</t>
  </si>
  <si>
    <t xml:space="preserve">14  28  8  13  12  26  2</t>
  </si>
  <si>
    <t xml:space="preserve">40  9  35  25  14  3  24</t>
  </si>
  <si>
    <t xml:space="preserve">35  17  10  19  14  4  13</t>
  </si>
  <si>
    <t xml:space="preserve">35  14  17  4  13</t>
  </si>
  <si>
    <t xml:space="preserve">40  35  3  4  10  28  26</t>
  </si>
  <si>
    <t xml:space="preserve">35  40  24  3  9  4  17  25  18</t>
  </si>
  <si>
    <t xml:space="preserve">40  35  13  3  17  24  31  5</t>
  </si>
  <si>
    <t xml:space="preserve">35  40  9  31  24  30  3</t>
  </si>
  <si>
    <t xml:space="preserve">35  19  24  28  4  13  1</t>
  </si>
  <si>
    <t xml:space="preserve">1  19  17  13  31  40</t>
  </si>
  <si>
    <t xml:space="preserve">40  31  24  35  3  28  9  1</t>
  </si>
  <si>
    <t xml:space="preserve">19  3  10  5  28  40  4</t>
  </si>
  <si>
    <t xml:space="preserve">35  31  40  1  34  24  7</t>
  </si>
  <si>
    <t xml:space="preserve">37  32  28  26  10  7</t>
  </si>
  <si>
    <t xml:space="preserve">17  3  2  5  9  4  31</t>
  </si>
  <si>
    <t xml:space="preserve">2  40  15  19  4  18  5  24</t>
  </si>
  <si>
    <t xml:space="preserve">35  40  3  10  25  31  37  30</t>
  </si>
  <si>
    <t xml:space="preserve">40  35  1  4  17  15  3  24</t>
  </si>
  <si>
    <t xml:space="preserve">6  12  28  13  7  14  24</t>
  </si>
  <si>
    <t xml:space="preserve">17  35  40  2  25  24  1 10</t>
  </si>
  <si>
    <t xml:space="preserve">40  35  5  17  14  3  24  31</t>
  </si>
  <si>
    <t xml:space="preserve">1  2  35  13  24  25</t>
  </si>
  <si>
    <t xml:space="preserve">13  28  2  22  24  17  1</t>
  </si>
  <si>
    <t xml:space="preserve">40  31  3  24  4  11</t>
  </si>
  <si>
    <t xml:space="preserve">7  17  22  3  24  4  19</t>
  </si>
  <si>
    <t xml:space="preserve">31  35  40  9  15  13  3  6</t>
  </si>
  <si>
    <t xml:space="preserve">35  10  3  40  14  4  37  24</t>
  </si>
  <si>
    <t xml:space="preserve">3  6  23  2  29  28  25</t>
  </si>
  <si>
    <t xml:space="preserve">15  2  35  10  17  13  </t>
  </si>
  <si>
    <t xml:space="preserve">15  35  17  10  14  29  5  3  25</t>
  </si>
  <si>
    <t xml:space="preserve">2  5  15  13  18  17</t>
  </si>
  <si>
    <t xml:space="preserve">15  25  1  3  10  28  7</t>
  </si>
  <si>
    <t xml:space="preserve">2  40  32  28  13  15  18</t>
  </si>
  <si>
    <t xml:space="preserve">3  37  28  25  32  23</t>
  </si>
  <si>
    <t xml:space="preserve">40  35  31  5  2  39  17  24  8</t>
  </si>
  <si>
    <t xml:space="preserve">40  35  31  17  39  1  24  4</t>
  </si>
  <si>
    <t xml:space="preserve">17  1  35  13  15  28  4  25</t>
  </si>
  <si>
    <t xml:space="preserve">17  4  35  37  13  1  40</t>
  </si>
  <si>
    <t xml:space="preserve">31  13  35  17  4  3  2  12</t>
  </si>
  <si>
    <t xml:space="preserve">35  31  4  3  39  13  17</t>
  </si>
  <si>
    <t xml:space="preserve">24  5  39  35  10  19  28  25</t>
  </si>
  <si>
    <t xml:space="preserve">35  40  24  31  25  14  5</t>
  </si>
  <si>
    <t xml:space="preserve">1  4  35  17  7  3  18  21</t>
  </si>
  <si>
    <t xml:space="preserve">5  24  31  40  35  15  39  13</t>
  </si>
  <si>
    <t xml:space="preserve"> 2  7  10  35  24  5</t>
  </si>
  <si>
    <t xml:space="preserve">10  13  5  35  4  19  7  40</t>
  </si>
  <si>
    <t xml:space="preserve">10  40  3  39  23  6  13  7</t>
  </si>
  <si>
    <t xml:space="preserve">40  28  25  13  24  10  33  15  18</t>
  </si>
  <si>
    <t xml:space="preserve">24  21  10  16  1  35  17</t>
  </si>
  <si>
    <t xml:space="preserve">13  35  19  18  9  24</t>
  </si>
  <si>
    <t xml:space="preserve">35  18  9  24  13  1</t>
  </si>
  <si>
    <t xml:space="preserve">35  31  18  24  13  27  32</t>
  </si>
  <si>
    <t xml:space="preserve">40  3  35  31  18  2  13  4</t>
  </si>
  <si>
    <t xml:space="preserve">40  17  9  35  14  4  5</t>
  </si>
  <si>
    <t xml:space="preserve">35  40  3  1  24  18</t>
  </si>
  <si>
    <t xml:space="preserve">35  3  13  32  24  7  1  19</t>
  </si>
  <si>
    <t xml:space="preserve">10  3  12  24  5  15</t>
  </si>
  <si>
    <t xml:space="preserve">40  2  14  3  7  19  30  31  12</t>
  </si>
  <si>
    <t xml:space="preserve">35  24  10  16  5  29  28</t>
  </si>
  <si>
    <t xml:space="preserve">5  24  3  15  4  17  13</t>
  </si>
  <si>
    <t xml:space="preserve">24  10  32  7  31  3  40</t>
  </si>
  <si>
    <t xml:space="preserve">18  31  24  9  7  14</t>
  </si>
  <si>
    <t xml:space="preserve">1  15  24  21  12  35</t>
  </si>
  <si>
    <t xml:space="preserve">24  35  40  1  39  13  30  27</t>
  </si>
  <si>
    <t xml:space="preserve">40  35  15  30  31  29  2  10</t>
  </si>
  <si>
    <t xml:space="preserve">1  6  13  2  10  28</t>
  </si>
  <si>
    <t xml:space="preserve">24  3  35  4  19  13  25  17</t>
  </si>
  <si>
    <t xml:space="preserve">35  40  24  31  3  10  5</t>
  </si>
  <si>
    <t xml:space="preserve">2  10  24  16  35  15  17  13</t>
  </si>
  <si>
    <t xml:space="preserve">2  24  28  17  10  13</t>
  </si>
  <si>
    <t xml:space="preserve">35  2  10  24  5  18  31</t>
  </si>
  <si>
    <t xml:space="preserve">17  4  3  31  22  13  5  </t>
  </si>
  <si>
    <t xml:space="preserve">40  35  31  17  11  24  18  30</t>
  </si>
  <si>
    <t xml:space="preserve">25  35  24  3  15  5  19</t>
  </si>
  <si>
    <t xml:space="preserve">3  25  2  12  5  15  30</t>
  </si>
  <si>
    <t xml:space="preserve">24  1  10  16  8  14</t>
  </si>
  <si>
    <t xml:space="preserve">5  24  40  3  35  12  13</t>
  </si>
  <si>
    <t xml:space="preserve">13  31  2  10  40  35  26  17</t>
  </si>
  <si>
    <t xml:space="preserve">25  10  24  4  28  5  37</t>
  </si>
  <si>
    <t xml:space="preserve">7  24  17  35  9  37  32  28</t>
  </si>
  <si>
    <t xml:space="preserve">25   13  37  4  17  26  24</t>
  </si>
  <si>
    <t xml:space="preserve">36  31  6  35  38  30  22  19  40</t>
  </si>
  <si>
    <t xml:space="preserve">31  35  3  32  36  22  40  4  17</t>
  </si>
  <si>
    <t xml:space="preserve">15  19  9  3  35  31  4  1</t>
  </si>
  <si>
    <t xml:space="preserve">19  3  15  31  9  35  4  1</t>
  </si>
  <si>
    <t xml:space="preserve">3  35  40  19  18  17  39  31</t>
  </si>
  <si>
    <t xml:space="preserve">35  3  31  40  19  38  30  24  17</t>
  </si>
  <si>
    <t xml:space="preserve">35  40  31  4  18  39  2  34</t>
  </si>
  <si>
    <t xml:space="preserve">35  40  31  3  4  6  30</t>
  </si>
  <si>
    <t xml:space="preserve">14  19  32  39  3  22  31</t>
  </si>
  <si>
    <t xml:space="preserve">30  31  3  35  39  17  15  19</t>
  </si>
  <si>
    <t xml:space="preserve">5  37  7  10  26  19  32  </t>
  </si>
  <si>
    <t xml:space="preserve">19  15  13  39  1  18  30  9  3</t>
  </si>
  <si>
    <t xml:space="preserve">19  36  40  3  9  1  13  2  35</t>
  </si>
  <si>
    <t xml:space="preserve">28  14  36  2  30  19  13  3</t>
  </si>
  <si>
    <t xml:space="preserve">2  35  3  19  21  24  10</t>
  </si>
  <si>
    <t xml:space="preserve">19  15  3  35  21  36  1  24</t>
  </si>
  <si>
    <t xml:space="preserve">35  3  19  32  36  5  9</t>
  </si>
  <si>
    <t xml:space="preserve">31  3  2  17  25  35  1  14</t>
  </si>
  <si>
    <t xml:space="preserve">35  19  39  2  15  3  26</t>
  </si>
  <si>
    <t xml:space="preserve">2  9  5  35  30  31  40  9  3</t>
  </si>
  <si>
    <t xml:space="preserve">24  35  32  3  36  33  12  15</t>
  </si>
  <si>
    <t xml:space="preserve">35  19  32  5  40  4  14  3</t>
  </si>
  <si>
    <t xml:space="preserve">3  24  10  15  19  13  4</t>
  </si>
  <si>
    <t xml:space="preserve">29  21  3  36  31  34  13  37  </t>
  </si>
  <si>
    <t xml:space="preserve">19  9  35  3  21  28  37</t>
  </si>
  <si>
    <t xml:space="preserve">35  21  24  38  3  5  19 </t>
  </si>
  <si>
    <t xml:space="preserve">35  9  24  7  32  26</t>
  </si>
  <si>
    <t xml:space="preserve">35  13  39  18  24  31</t>
  </si>
  <si>
    <t xml:space="preserve">3  19  15  2  18  35</t>
  </si>
  <si>
    <t xml:space="preserve">35  2  25  22  10  3  12  20</t>
  </si>
  <si>
    <t xml:space="preserve">2  3  19  15  4  12  35</t>
  </si>
  <si>
    <t xml:space="preserve">24  2  13  30  15  17  3</t>
  </si>
  <si>
    <t xml:space="preserve">28  24  26  2  23  15  35  3</t>
  </si>
  <si>
    <t xml:space="preserve">35  40  3  12  20  33  1  4</t>
  </si>
  <si>
    <t xml:space="preserve">10  3  4  37  28  26  27  2</t>
  </si>
  <si>
    <t xml:space="preserve">24  1  3  35  28</t>
  </si>
  <si>
    <t xml:space="preserve">24  9  39  28  2  7</t>
  </si>
  <si>
    <t xml:space="preserve">31  3  15  2  35  36  40  19</t>
  </si>
  <si>
    <t xml:space="preserve">35  33  2  18  22  27  30  12</t>
  </si>
  <si>
    <t xml:space="preserve">35  3  26  30  16  21  37  5</t>
  </si>
  <si>
    <t xml:space="preserve">23  25  3  12  24</t>
  </si>
  <si>
    <t xml:space="preserve">2  26  3  19  16  12</t>
  </si>
  <si>
    <t xml:space="preserve">3  15  35  28  40  12  1  24</t>
  </si>
  <si>
    <t xml:space="preserve">2  3  19  35  16  17  5</t>
  </si>
  <si>
    <t xml:space="preserve">35  25  1  19  32  40  4</t>
  </si>
  <si>
    <t xml:space="preserve">32  28  35  3  26  7  31  37</t>
  </si>
  <si>
    <t xml:space="preserve">32  19  28  26  35  37  10  3</t>
  </si>
  <si>
    <t xml:space="preserve">19  1  24  32  31  39  35</t>
  </si>
  <si>
    <t xml:space="preserve">35  32  2  19  31  1  5  30</t>
  </si>
  <si>
    <t xml:space="preserve">14  19  32  35  17  24  1</t>
  </si>
  <si>
    <t xml:space="preserve">14  17  32  35  24  19  1</t>
  </si>
  <si>
    <t xml:space="preserve">14  17  24  35  19  32  26  4  1</t>
  </si>
  <si>
    <t xml:space="preserve">14  17  4  35  24  32  19  1  26</t>
  </si>
  <si>
    <t xml:space="preserve">14  24  13  10  19  2  32  35  4</t>
  </si>
  <si>
    <t xml:space="preserve">14  13  24  35  10  19  2  32</t>
  </si>
  <si>
    <t xml:space="preserve">3  30  13  24  32  35  5  14  1</t>
  </si>
  <si>
    <t xml:space="preserve">1  19  35  14  24  28  3</t>
  </si>
  <si>
    <t xml:space="preserve"> 2  25  19  32  7  6  3</t>
  </si>
  <si>
    <t xml:space="preserve">19  2  6  35  28  4  25</t>
  </si>
  <si>
    <t xml:space="preserve">2  6  10  35  28  4</t>
  </si>
  <si>
    <t xml:space="preserve">19  10  13  28  35  4  5</t>
  </si>
  <si>
    <t xml:space="preserve">10  19  6  26  4  3  36</t>
  </si>
  <si>
    <t xml:space="preserve">19  10  3  24  15  17</t>
  </si>
  <si>
    <t xml:space="preserve">19  10  24  3  5  26</t>
  </si>
  <si>
    <t xml:space="preserve">35  25  19  17  14  28  2  4</t>
  </si>
  <si>
    <t xml:space="preserve">30  35  12  9  40  14  28</t>
  </si>
  <si>
    <t xml:space="preserve">35  19  12  28  9  40  14</t>
  </si>
  <si>
    <t xml:space="preserve">28  32  35  3  27  40</t>
  </si>
  <si>
    <t xml:space="preserve">19  35  32  1  40  28  4  5</t>
  </si>
  <si>
    <t xml:space="preserve">35  13  1  19  24  6</t>
  </si>
  <si>
    <t xml:space="preserve">13  1  5  35  10  28</t>
  </si>
  <si>
    <t xml:space="preserve">19  1  26  35  17  4</t>
  </si>
  <si>
    <t xml:space="preserve">19  1  35  24  13  6  16  14</t>
  </si>
  <si>
    <t xml:space="preserve">32  13  4  1  14  6  25</t>
  </si>
  <si>
    <t xml:space="preserve">35  28  39  2  9</t>
  </si>
  <si>
    <t xml:space="preserve">35  19  40  2  15  24</t>
  </si>
  <si>
    <t xml:space="preserve">35  32  19  3  39  40  13  37  17</t>
  </si>
  <si>
    <t xml:space="preserve">15  35  4  40  3  32  23  6  1</t>
  </si>
  <si>
    <t xml:space="preserve">32  35  1  13  6  10</t>
  </si>
  <si>
    <t xml:space="preserve">28  4  35  24  19  12  5  26</t>
  </si>
  <si>
    <t xml:space="preserve">35  1  4  32  17  28  5</t>
  </si>
  <si>
    <t xml:space="preserve">17  13  1  15  10  27</t>
  </si>
  <si>
    <t xml:space="preserve">28  5  23  13  2  3</t>
  </si>
  <si>
    <t xml:space="preserve">35  3  1  24  11  32</t>
  </si>
  <si>
    <t xml:space="preserve">32  3  5  10  22  26  24</t>
  </si>
  <si>
    <t xml:space="preserve">28  12  6  4  13  1  39  25  33</t>
  </si>
  <si>
    <t xml:space="preserve">35  28  20  33  16  26</t>
  </si>
  <si>
    <t xml:space="preserve">3  35  32  39  37  24</t>
  </si>
  <si>
    <t xml:space="preserve">10  2  26  13  24</t>
  </si>
  <si>
    <t xml:space="preserve">2  3  15  5  28  37</t>
  </si>
  <si>
    <t xml:space="preserve">5  15  13  6  25  17  4</t>
  </si>
  <si>
    <t xml:space="preserve">15  3  37  4  5</t>
  </si>
  <si>
    <t xml:space="preserve">32  15  1  9  37</t>
  </si>
  <si>
    <t xml:space="preserve">32  10  37  4  3  15</t>
  </si>
  <si>
    <t xml:space="preserve">3  30  31  8  40  1  7  35</t>
  </si>
  <si>
    <t xml:space="preserve">31  3  35  40  7  30  1</t>
  </si>
  <si>
    <t xml:space="preserve">17  3  4  15  14  30  35</t>
  </si>
  <si>
    <t xml:space="preserve">17  4  13  14  7  5</t>
  </si>
  <si>
    <t xml:space="preserve">15  30  17  3  4  35  14</t>
  </si>
  <si>
    <t xml:space="preserve">14  17  4  3  7  28  26</t>
  </si>
  <si>
    <t xml:space="preserve">15  19  14  4  3  13</t>
  </si>
  <si>
    <t xml:space="preserve">28  4  37  35  13  12</t>
  </si>
  <si>
    <t xml:space="preserve">4  14  3  30  19  31  17</t>
  </si>
  <si>
    <t xml:space="preserve">31  3  30  19  18  4  1</t>
  </si>
  <si>
    <t xml:space="preserve">2  37  3  17  4  13  19  </t>
  </si>
  <si>
    <t xml:space="preserve">10  4  3  18  28  9  36  1</t>
  </si>
  <si>
    <t xml:space="preserve">35  24  28  10  3  30  18</t>
  </si>
  <si>
    <t xml:space="preserve">3  4  15  30  29  28  13</t>
  </si>
  <si>
    <t xml:space="preserve">35  40  17  13  3  9  19  7</t>
  </si>
  <si>
    <t xml:space="preserve">2  4  15  3  19  35  17</t>
  </si>
  <si>
    <t xml:space="preserve">3  35  19  15  17  14  4</t>
  </si>
  <si>
    <t xml:space="preserve">35  3  15  19  17  4  38</t>
  </si>
  <si>
    <t xml:space="preserve">3  17  35  31  19  12  40  15  9</t>
  </si>
  <si>
    <t xml:space="preserve">35  40  3  4  19  12  15  9</t>
  </si>
  <si>
    <t xml:space="preserve">35  2  19  30  9  17  38  15  3</t>
  </si>
  <si>
    <t xml:space="preserve">19  35  3  31  28  21  37  24</t>
  </si>
  <si>
    <t xml:space="preserve">19  3  35  28  32  5  31  17</t>
  </si>
  <si>
    <t xml:space="preserve">4  12  17  34  2  24  30  3</t>
  </si>
  <si>
    <t xml:space="preserve">3  14  28  15  24  12  1</t>
  </si>
  <si>
    <t xml:space="preserve">3  4  31  19  15  28  2  38</t>
  </si>
  <si>
    <t xml:space="preserve">3  4  19  15  32  17  13  31</t>
  </si>
  <si>
    <t xml:space="preserve">14  9  3  4  1  2  15</t>
  </si>
  <si>
    <t xml:space="preserve">35  24  18  28  22  13  4</t>
  </si>
  <si>
    <t xml:space="preserve">19  15  4  33  3  37  30  39</t>
  </si>
  <si>
    <t xml:space="preserve">15  19  3  28  4  30  16</t>
  </si>
  <si>
    <t xml:space="preserve">1  4  14  7  2  24</t>
  </si>
  <si>
    <t xml:space="preserve">25  10  1  13  3  19</t>
  </si>
  <si>
    <t xml:space="preserve">35  30  40  27  15  28  1</t>
  </si>
  <si>
    <t xml:space="preserve">2  27  17  1  16  4</t>
  </si>
  <si>
    <t xml:space="preserve">28  2  1  24  25  7  23</t>
  </si>
  <si>
    <t xml:space="preserve">31  30  2  24  23  35</t>
  </si>
  <si>
    <t xml:space="preserve">22  2  32  3  4</t>
  </si>
  <si>
    <t xml:space="preserve">35  13  18  31  33  17  32  12</t>
  </si>
  <si>
    <t xml:space="preserve">3  35  1  25  28  29  2</t>
  </si>
  <si>
    <t xml:space="preserve">3  2  15  28  4  37  24</t>
  </si>
  <si>
    <t xml:space="preserve">2  25  19  3  15</t>
  </si>
  <si>
    <t xml:space="preserve">1  3  15  4  2  25</t>
  </si>
  <si>
    <t xml:space="preserve">2  15  19  28  35  30  4  17</t>
  </si>
  <si>
    <t xml:space="preserve">25  1  37  4  10</t>
  </si>
  <si>
    <t xml:space="preserve">32  4  18  28  2  3</t>
  </si>
  <si>
    <t xml:space="preserve">37  4  28  32  18  3</t>
  </si>
  <si>
    <t xml:space="preserve">28  35  40  8  6  31  17  4</t>
  </si>
  <si>
    <t xml:space="preserve">35  4  31  6  13  2  40</t>
  </si>
  <si>
    <t xml:space="preserve">14  12  10  24  17  4</t>
  </si>
  <si>
    <t xml:space="preserve">17  28  24  10  4  3</t>
  </si>
  <si>
    <t xml:space="preserve">10  17  30  12  5  31  2  35</t>
  </si>
  <si>
    <t xml:space="preserve">18  10  5  30  4  13  17  34  24  </t>
  </si>
  <si>
    <t xml:space="preserve">30  1  29  36  12  13  3  4</t>
  </si>
  <si>
    <t xml:space="preserve">3  18  30  39  30  9  12  13</t>
  </si>
  <si>
    <t xml:space="preserve">35  5  29  3  28  30  7  36</t>
  </si>
  <si>
    <t xml:space="preserve">24  3  10  6  35  12</t>
  </si>
  <si>
    <t xml:space="preserve">28  24  10  1  37  25  4</t>
  </si>
  <si>
    <t xml:space="preserve">3  15  19  28  18  35  17</t>
  </si>
  <si>
    <t xml:space="preserve">24  15  18  38  17  35  28</t>
  </si>
  <si>
    <t xml:space="preserve">28  19  13  25  10  38  3  24</t>
  </si>
  <si>
    <t xml:space="preserve">14  15  9  18  40  35  17  4</t>
  </si>
  <si>
    <t xml:space="preserve">18  35  5  3  19  12  28</t>
  </si>
  <si>
    <t xml:space="preserve">12  18  28  35  30  24  31  19</t>
  </si>
  <si>
    <t xml:space="preserve">28  18  38  25  13  3</t>
  </si>
  <si>
    <t xml:space="preserve">3  37  10  1  17  36  9  12</t>
  </si>
  <si>
    <t xml:space="preserve">35  28  3  40  17  31  4  34</t>
  </si>
  <si>
    <t xml:space="preserve">1  30  19  24  29  36  18</t>
  </si>
  <si>
    <t xml:space="preserve">36  37  21  39  31  24  2</t>
  </si>
  <si>
    <t xml:space="preserve">2  13  35  28  6 1  24</t>
  </si>
  <si>
    <t xml:space="preserve">28  10  3  13  4  1  18  15</t>
  </si>
  <si>
    <t xml:space="preserve">35  15  2  18  28  10  24  36</t>
  </si>
  <si>
    <t xml:space="preserve">19  38  35  27  34  36  5  4</t>
  </si>
  <si>
    <t xml:space="preserve">32  40  1  10  3</t>
  </si>
  <si>
    <t xml:space="preserve">35  17  7  2  28  4</t>
  </si>
  <si>
    <t xml:space="preserve">13  2  24  35  28  21</t>
  </si>
  <si>
    <t xml:space="preserve">3  1  15  14  29  13  12  9</t>
  </si>
  <si>
    <t xml:space="preserve">2  15  28  27  12  15  3</t>
  </si>
  <si>
    <t xml:space="preserve">34  2  33  24  13  5  15</t>
  </si>
  <si>
    <t xml:space="preserve">3  15  32  2  1  14  24  34</t>
  </si>
  <si>
    <t xml:space="preserve">10  12  35  24  17  36  40  8</t>
  </si>
  <si>
    <t xml:space="preserve">2  14  27  35  4  34  24</t>
  </si>
  <si>
    <t xml:space="preserve">2  17  12  28  7  14</t>
  </si>
  <si>
    <t xml:space="preserve">24  19  31  5  10  30</t>
  </si>
  <si>
    <t xml:space="preserve">13  28  17  4  35  7</t>
  </si>
  <si>
    <t xml:space="preserve">35  30  40  24  1  22  12  32  28</t>
  </si>
  <si>
    <t xml:space="preserve">15  5  34  33  10  17  13  </t>
  </si>
  <si>
    <t xml:space="preserve">24  31  10  3  17  35</t>
  </si>
  <si>
    <t xml:space="preserve">10  35  18  25  5  29</t>
  </si>
  <si>
    <t xml:space="preserve">5  25  28  24  10  35  19  3  34</t>
  </si>
  <si>
    <t xml:space="preserve">28  5  2  10  24  4  31</t>
  </si>
  <si>
    <t xml:space="preserve">3  25  14  34  10  37</t>
  </si>
  <si>
    <t xml:space="preserve">28  24  3  17  10  35  13  33  18</t>
  </si>
  <si>
    <t xml:space="preserve">24  10  14  3  31  35  4</t>
  </si>
  <si>
    <t xml:space="preserve">10  20  8  14  35  37  5</t>
  </si>
  <si>
    <t xml:space="preserve">10  20  26  35  5</t>
  </si>
  <si>
    <t xml:space="preserve">17  13  15  29  14  7  2</t>
  </si>
  <si>
    <t xml:space="preserve">5  14  17  24  13  30  2</t>
  </si>
  <si>
    <t xml:space="preserve">17  15  16  5  26  4  13</t>
  </si>
  <si>
    <t xml:space="preserve">35  17  4  10  5  12  16</t>
  </si>
  <si>
    <t xml:space="preserve">20  10  5  18  34  2</t>
  </si>
  <si>
    <t xml:space="preserve">35  5  10  12  16  3  7</t>
  </si>
  <si>
    <t xml:space="preserve">7  28  17  4  10  34  9  37</t>
  </si>
  <si>
    <t xml:space="preserve">35  10  5  18  16  19  38  4</t>
  </si>
  <si>
    <t xml:space="preserve"> 2  3  10  25  5  7</t>
  </si>
  <si>
    <t xml:space="preserve">3  17  28  18  15  10</t>
  </si>
  <si>
    <t xml:space="preserve">5  28  24  7  16</t>
  </si>
  <si>
    <t xml:space="preserve">28  26  3  10  4  5</t>
  </si>
  <si>
    <t xml:space="preserve">5  17  10  37  36  3</t>
  </si>
  <si>
    <t xml:space="preserve">18  35  38  3  4  19</t>
  </si>
  <si>
    <t xml:space="preserve">35  10  1  19  38  3  4</t>
  </si>
  <si>
    <t xml:space="preserve">35  6  10  1  20  12  24</t>
  </si>
  <si>
    <t xml:space="preserve">35  17  4  20  36  37  9</t>
  </si>
  <si>
    <t xml:space="preserve">35  24  3  9  28  18  4  29</t>
  </si>
  <si>
    <t xml:space="preserve">24  5  3  35  17  31  28</t>
  </si>
  <si>
    <t xml:space="preserve">21  18  24  35  31  3</t>
  </si>
  <si>
    <t xml:space="preserve">26  1  32  17  13  19  2</t>
  </si>
  <si>
    <t xml:space="preserve">5  19  3  20  16  34</t>
  </si>
  <si>
    <t xml:space="preserve">24  10  35  18  4  12  17  13</t>
  </si>
  <si>
    <t xml:space="preserve">5  18  35  19  1  4  13</t>
  </si>
  <si>
    <t xml:space="preserve">24  28  32  2  26  5</t>
  </si>
  <si>
    <t xml:space="preserve">9  31  14  18  19  4  24</t>
  </si>
  <si>
    <t xml:space="preserve">1  35  21  18  5</t>
  </si>
  <si>
    <t xml:space="preserve">35  24  14  39  22  18  6</t>
  </si>
  <si>
    <t xml:space="preserve">28  35  40  13  17  4</t>
  </si>
  <si>
    <t xml:space="preserve">17  10  28  2  24  1</t>
  </si>
  <si>
    <t xml:space="preserve">10  25  4  26  28  1</t>
  </si>
  <si>
    <t xml:space="preserve">35  10  3  14  4  30  28</t>
  </si>
  <si>
    <t xml:space="preserve">17  24  32  1  10  27</t>
  </si>
  <si>
    <t xml:space="preserve">2  28  26  9  25  13  24  15</t>
  </si>
  <si>
    <t xml:space="preserve">25  12  13  11  24  31  </t>
  </si>
  <si>
    <t xml:space="preserve">17  10  4  28  32  7  19</t>
  </si>
  <si>
    <t xml:space="preserve">35  18  1  34  3  30  31  33</t>
  </si>
  <si>
    <t xml:space="preserve">10  35  4  19  34  28  3</t>
  </si>
  <si>
    <t xml:space="preserve">26  25  24  18  28  4  13</t>
  </si>
  <si>
    <t xml:space="preserve">10  2  24  30  5  25  12</t>
  </si>
  <si>
    <t xml:space="preserve">10  3  24  5  4  13</t>
  </si>
  <si>
    <t xml:space="preserve">28  21  6  10  2  12</t>
  </si>
  <si>
    <t xml:space="preserve">10  37  4  5  2  3  19</t>
  </si>
  <si>
    <t xml:space="preserve">37  10  18  32  28  4</t>
  </si>
  <si>
    <t xml:space="preserve">25  26  32  28  24  34  4</t>
  </si>
  <si>
    <t xml:space="preserve">8  15  28  19  6  31  14</t>
  </si>
  <si>
    <t xml:space="preserve">19  7  6  31  18  14</t>
  </si>
  <si>
    <t xml:space="preserve">3  4  13  17  7  28  6</t>
  </si>
  <si>
    <t xml:space="preserve">4  13  7  25  17  38  6</t>
  </si>
  <si>
    <t xml:space="preserve">15  17  30  28  26  4  12  </t>
  </si>
  <si>
    <t xml:space="preserve">17  14  7  38  18  30  12  25</t>
  </si>
  <si>
    <t xml:space="preserve">7  5  28  4  18  19  3</t>
  </si>
  <si>
    <t xml:space="preserve">7  5  3  4  19  28  12</t>
  </si>
  <si>
    <t xml:space="preserve">4  3  24  19  28  13  17  5</t>
  </si>
  <si>
    <t xml:space="preserve">7  25  15  18  3  12  23</t>
  </si>
  <si>
    <t xml:space="preserve">2  10  24  25  1  7  </t>
  </si>
  <si>
    <t xml:space="preserve">21  35  34  14  3  19  18</t>
  </si>
  <si>
    <t xml:space="preserve">17  31  35  34  14  3  19</t>
  </si>
  <si>
    <t xml:space="preserve">3  35  14  28  10  13</t>
  </si>
  <si>
    <t xml:space="preserve">19  17  2  36  4  38</t>
  </si>
  <si>
    <t xml:space="preserve">35  19  3  4  37  2</t>
  </si>
  <si>
    <t xml:space="preserve">35  19  4  2  12  34  3</t>
  </si>
  <si>
    <t xml:space="preserve">19  4  37  34  38  21</t>
  </si>
  <si>
    <t xml:space="preserve">2  25  4  13  12  19</t>
  </si>
  <si>
    <t xml:space="preserve">28  35  17  26  31  40  9  37</t>
  </si>
  <si>
    <t xml:space="preserve">10  6  14  12  2  19  28</t>
  </si>
  <si>
    <t xml:space="preserve">35  7  31  34  19  21  1</t>
  </si>
  <si>
    <t xml:space="preserve">19  24  5  13  35  32  15</t>
  </si>
  <si>
    <t xml:space="preserve">1  13  19  4  12  37  16</t>
  </si>
  <si>
    <t xml:space="preserve">28  35  37  2  27  3  4</t>
  </si>
  <si>
    <t xml:space="preserve">10  18  7  4  32  15</t>
  </si>
  <si>
    <t xml:space="preserve">19  10  4  37  1  7</t>
  </si>
  <si>
    <t xml:space="preserve">28  35  14  25  2  9</t>
  </si>
  <si>
    <t xml:space="preserve">2  1  21  19  3  35</t>
  </si>
  <si>
    <t xml:space="preserve">40  35  21  24  2  28  4  5</t>
  </si>
  <si>
    <t xml:space="preserve">15  5  14  13  31  35  3</t>
  </si>
  <si>
    <t xml:space="preserve">21  35  12  13  17  4  24</t>
  </si>
  <si>
    <t xml:space="preserve">13  1  35  25  10  32  4</t>
  </si>
  <si>
    <t xml:space="preserve">35  40  17  11  10  39  37  36</t>
  </si>
  <si>
    <t xml:space="preserve">1  19  30  2  29  4  13</t>
  </si>
  <si>
    <t xml:space="preserve">28  3  2  26  24  1</t>
  </si>
  <si>
    <t xml:space="preserve">19  4  35  31  1  16  13</t>
  </si>
  <si>
    <t xml:space="preserve">4  7  28  17  3  13</t>
  </si>
  <si>
    <t xml:space="preserve">21  35  33  15  19  6  30  37  36</t>
  </si>
  <si>
    <t xml:space="preserve">10  14  35  1  29  30</t>
  </si>
  <si>
    <t xml:space="preserve">30  37  9  25  3  35  29</t>
  </si>
  <si>
    <t xml:space="preserve">28  1  10  2  12</t>
  </si>
  <si>
    <t xml:space="preserve">3  10  35  28  29  6  2  </t>
  </si>
  <si>
    <t xml:space="preserve">25  7  40  30  37  4</t>
  </si>
  <si>
    <t xml:space="preserve">25  37  4  2  16  12</t>
  </si>
  <si>
    <t xml:space="preserve">1  3  35  15  28  37  4</t>
  </si>
  <si>
    <t xml:space="preserve">3  37  24  26  32  28</t>
  </si>
  <si>
    <t xml:space="preserve">13  35  7  10  17  24</t>
  </si>
  <si>
    <t xml:space="preserve">13  35  31  5  24  10</t>
  </si>
  <si>
    <t xml:space="preserve">28  25  10  37  1  26  16</t>
  </si>
  <si>
    <t xml:space="preserve">28  25  17  26  37  32</t>
  </si>
  <si>
    <t xml:space="preserve">28  26  17  25  30  16  1  37  7</t>
  </si>
  <si>
    <t xml:space="preserve">28  25  26  16  37  30  17  32</t>
  </si>
  <si>
    <t xml:space="preserve">28  25  17  32  7  31  1  2</t>
  </si>
  <si>
    <t xml:space="preserve">28  25  32  1  35  31  7  2</t>
  </si>
  <si>
    <t xml:space="preserve">25  14  24  3  4  32</t>
  </si>
  <si>
    <t xml:space="preserve">17  28  24  7  33  31  32</t>
  </si>
  <si>
    <t xml:space="preserve"> 2  7  24  3  32  5</t>
  </si>
  <si>
    <t xml:space="preserve">10  28  37  3  7  4</t>
  </si>
  <si>
    <t xml:space="preserve">10  19  28  3  4  37</t>
  </si>
  <si>
    <t xml:space="preserve">12  13  24  26  37  32</t>
  </si>
  <si>
    <t xml:space="preserve">13  17  24  37  1  36</t>
  </si>
  <si>
    <t xml:space="preserve">1  24  25  20  10  19</t>
  </si>
  <si>
    <t xml:space="preserve">10  1  24  36  25</t>
  </si>
  <si>
    <t xml:space="preserve">10  19  24  25  7  13  3  37</t>
  </si>
  <si>
    <t xml:space="preserve">24  22  25  35  7  14  31</t>
  </si>
  <si>
    <t xml:space="preserve">35  24  3  31  14  40</t>
  </si>
  <si>
    <t xml:space="preserve">35  30  10  26  24  5  40</t>
  </si>
  <si>
    <t xml:space="preserve">28  22  1  25  26  24</t>
  </si>
  <si>
    <t xml:space="preserve">19  32  24  28  3  5</t>
  </si>
  <si>
    <t xml:space="preserve">10  5  37  12  32   25</t>
  </si>
  <si>
    <t xml:space="preserve">7  17  2  3  13  25</t>
  </si>
  <si>
    <t xml:space="preserve">25  22  10  24  26  28  32  23</t>
  </si>
  <si>
    <t xml:space="preserve">24  34  19  10  7  13</t>
  </si>
  <si>
    <t xml:space="preserve">2  37  3  10  25</t>
  </si>
  <si>
    <t xml:space="preserve">7  1  13  21  35</t>
  </si>
  <si>
    <t xml:space="preserve">7  10  31  27  21  40  6</t>
  </si>
  <si>
    <t xml:space="preserve">24  5  25  9  40  35  19</t>
  </si>
  <si>
    <t xml:space="preserve">2  24  37  4  1  13</t>
  </si>
  <si>
    <t xml:space="preserve">7  1  3  10  5  13</t>
  </si>
  <si>
    <t xml:space="preserve">13  24  10  26  6  4  3  40  17</t>
  </si>
  <si>
    <t xml:space="preserve">2  10  17  13  28</t>
  </si>
  <si>
    <t xml:space="preserve">26  24  25  1  17  28</t>
  </si>
  <si>
    <t xml:space="preserve">10  28  24  7  30  4</t>
  </si>
  <si>
    <t xml:space="preserve">32  3  17  7  5</t>
  </si>
  <si>
    <t xml:space="preserve">10  24  11  3  25  22  17  7  6</t>
  </si>
  <si>
    <t xml:space="preserve">25  29  28  40  37</t>
  </si>
  <si>
    <t xml:space="preserve">25  17  37  1  32  4</t>
  </si>
  <si>
    <t xml:space="preserve">5  24  35  10  25</t>
  </si>
  <si>
    <t xml:space="preserve">5  10  13  24  25  15</t>
  </si>
  <si>
    <t xml:space="preserve">6  25  13  24  4  28</t>
  </si>
  <si>
    <t xml:space="preserve">10  6  25  2  3  19</t>
  </si>
  <si>
    <t xml:space="preserve">28  32  1  10  37  7</t>
  </si>
  <si>
    <t xml:space="preserve">37  4  32  10  7</t>
  </si>
  <si>
    <t xml:space="preserve">31  9  3  22  13  14  4</t>
  </si>
  <si>
    <t xml:space="preserve">31  9  14  39  4  35</t>
  </si>
  <si>
    <t xml:space="preserve">17  3  14  9  1  35  13</t>
  </si>
  <si>
    <t xml:space="preserve">3  17  14  35  9  1</t>
  </si>
  <si>
    <t xml:space="preserve">3  14  17  35  1  13  9</t>
  </si>
  <si>
    <t xml:space="preserve">17  3  9  14  1  35</t>
  </si>
  <si>
    <t xml:space="preserve">3  14  35  1  13  4  9  17</t>
  </si>
  <si>
    <t xml:space="preserve">3  9  14  4  35  1</t>
  </si>
  <si>
    <t xml:space="preserve">4  35  28  2  14  22  31  3</t>
  </si>
  <si>
    <t xml:space="preserve">31  9  14  35  4  1  10  15  39</t>
  </si>
  <si>
    <t xml:space="preserve">3  10  23  31  34  2 </t>
  </si>
  <si>
    <t xml:space="preserve">10  1  35  19  4  21</t>
  </si>
  <si>
    <t xml:space="preserve">10  4  1  13  24  3  35</t>
  </si>
  <si>
    <t xml:space="preserve">3  1  14  31  39  24  4</t>
  </si>
  <si>
    <t xml:space="preserve">3  14  17  4  1  31</t>
  </si>
  <si>
    <t xml:space="preserve">19  28  4  35  14  24  23  9  3</t>
  </si>
  <si>
    <t xml:space="preserve">19  23  28  4  24  14  9  3  35</t>
  </si>
  <si>
    <t xml:space="preserve">28  23  25  24  3  13  14  35  39</t>
  </si>
  <si>
    <t xml:space="preserve">3  14  9  2  23  24  39  25</t>
  </si>
  <si>
    <t xml:space="preserve">3  35  26  40  4  28  30  10</t>
  </si>
  <si>
    <t xml:space="preserve">23  25  2  10  13  5  29  39  12</t>
  </si>
  <si>
    <t xml:space="preserve">35  12  2  3  13</t>
  </si>
  <si>
    <t xml:space="preserve">35  2  9  40  17  13</t>
  </si>
  <si>
    <t xml:space="preserve">17  15  31  3  25  4  35  28</t>
  </si>
  <si>
    <t xml:space="preserve">35  31  2  9  13  24  34</t>
  </si>
  <si>
    <t xml:space="preserve">35  28  19  25  37  15  13</t>
  </si>
  <si>
    <t xml:space="preserve">3  15  9  31  35  39  24  13</t>
  </si>
  <si>
    <t xml:space="preserve">10  23  2  3  26</t>
  </si>
  <si>
    <t xml:space="preserve">5  2  35  19  9  25  15  7</t>
  </si>
  <si>
    <t xml:space="preserve">28  2  18  29   3  9  25  31</t>
  </si>
  <si>
    <t xml:space="preserve">28  10  1  15  3  25</t>
  </si>
  <si>
    <t xml:space="preserve">2  35  9  17  28  3</t>
  </si>
  <si>
    <t xml:space="preserve">28  26  25  1  24</t>
  </si>
  <si>
    <t xml:space="preserve">35  9  13  16  5  21  3</t>
  </si>
  <si>
    <t xml:space="preserve">5  9  31  2  17  3  </t>
  </si>
  <si>
    <t xml:space="preserve">28  2  24  1  </t>
  </si>
  <si>
    <t xml:space="preserve">5  28  24  18  22  13</t>
  </si>
  <si>
    <t xml:space="preserve">9  7  31  14  4  2  35</t>
  </si>
  <si>
    <t xml:space="preserve">2  35  31  22  40  13  16  5  19</t>
  </si>
  <si>
    <t xml:space="preserve">35  5  6  13  21  18</t>
  </si>
  <si>
    <t xml:space="preserve">15  3  10  2  28  1</t>
  </si>
  <si>
    <t xml:space="preserve">15  28  10  1  3  13</t>
  </si>
  <si>
    <t xml:space="preserve">3  15  10  2  28</t>
  </si>
  <si>
    <t xml:space="preserve">6  13  1  24  15  25</t>
  </si>
  <si>
    <t xml:space="preserve">23  10  28  3  2  25  6  9  1</t>
  </si>
  <si>
    <t xml:space="preserve">24  3  14  30  28  37  13  39</t>
  </si>
  <si>
    <t xml:space="preserve">5  10  24  22  3  25  23</t>
  </si>
  <si>
    <t xml:space="preserve">28  35  20  21  19  5  18</t>
  </si>
  <si>
    <t xml:space="preserve">28  31  13  5  2  36  35</t>
  </si>
  <si>
    <t xml:space="preserve">14  18  4  19  17  36  15  13</t>
  </si>
  <si>
    <t xml:space="preserve">17  18  21  14  4  1  36  13</t>
  </si>
  <si>
    <t xml:space="preserve">4  14  19  15  18  13  3  36</t>
  </si>
  <si>
    <t xml:space="preserve">4  14  13  24  17  18  36  3</t>
  </si>
  <si>
    <t xml:space="preserve">13  15  3  19  18  4  1</t>
  </si>
  <si>
    <t xml:space="preserve">13  4  3  15  18  36  24  35</t>
  </si>
  <si>
    <t xml:space="preserve">35  36  3  31  38  15  13</t>
  </si>
  <si>
    <t xml:space="preserve">35  10  19  18  24  13  7</t>
  </si>
  <si>
    <t xml:space="preserve">10  23  37  1  13  4  </t>
  </si>
  <si>
    <t xml:space="preserve">1  10  21  3  36  18  15</t>
  </si>
  <si>
    <t xml:space="preserve">1  3  10  15  18  36</t>
  </si>
  <si>
    <t xml:space="preserve">35  28  13  21  3  18  36</t>
  </si>
  <si>
    <t xml:space="preserve">10  3  15  35  28</t>
  </si>
  <si>
    <t xml:space="preserve">35  28  10  3  20  4</t>
  </si>
  <si>
    <t xml:space="preserve">35  3  20  10  28  4</t>
  </si>
  <si>
    <t xml:space="preserve">35  28  10  3  4  18  20</t>
  </si>
  <si>
    <t xml:space="preserve">10  12  9  35  15  28  17  13</t>
  </si>
  <si>
    <t xml:space="preserve">10  35  15  28  17  4  5</t>
  </si>
  <si>
    <t xml:space="preserve">15  4  19  3  1</t>
  </si>
  <si>
    <t xml:space="preserve">19  18  36  20  3  1  35  </t>
  </si>
  <si>
    <t xml:space="preserve">32  24  35  2  5  19</t>
  </si>
  <si>
    <t xml:space="preserve">10  35  28  15  12  3</t>
  </si>
  <si>
    <t xml:space="preserve">10  12  18  14  13  1  3  4  35</t>
  </si>
  <si>
    <t xml:space="preserve">2  10  35  36  21  3</t>
  </si>
  <si>
    <t xml:space="preserve">10  18  13  2  21  35  3  1</t>
  </si>
  <si>
    <t xml:space="preserve">9  16  13  2  4  23</t>
  </si>
  <si>
    <t xml:space="preserve">18  35  28  14  31  16</t>
  </si>
  <si>
    <t xml:space="preserve">21  23  33  1  34  40  12  11</t>
  </si>
  <si>
    <t xml:space="preserve">18  35  10  13  15  1  4</t>
  </si>
  <si>
    <t xml:space="preserve">2  35  16  19  5  3  4</t>
  </si>
  <si>
    <t xml:space="preserve">25  10  13  26  1</t>
  </si>
  <si>
    <t xml:space="preserve">2  35  40  3  4  17  14</t>
  </si>
  <si>
    <t xml:space="preserve">18  28  1  23  27  30</t>
  </si>
  <si>
    <t xml:space="preserve">28  10  2  17  13  1</t>
  </si>
  <si>
    <t xml:space="preserve">15  28  23  35  31</t>
  </si>
  <si>
    <t xml:space="preserve">17  7  10  5  19</t>
  </si>
  <si>
    <t xml:space="preserve">2  30  37  38  40  12  22</t>
  </si>
  <si>
    <t xml:space="preserve">30  13  31  5  40  10</t>
  </si>
  <si>
    <t xml:space="preserve">2  18  15  25  12</t>
  </si>
  <si>
    <t xml:space="preserve">10  2  36  7  14</t>
  </si>
  <si>
    <t xml:space="preserve">10  2  1  19  25</t>
  </si>
  <si>
    <t xml:space="preserve">21  28  35  6  2</t>
  </si>
  <si>
    <t xml:space="preserve">10  23  37  1  4</t>
  </si>
  <si>
    <t xml:space="preserve">24  10  28  25  4  37</t>
  </si>
  <si>
    <t xml:space="preserve">28  10  37  4  3</t>
  </si>
  <si>
    <t xml:space="preserve">35  30  31  15  19  40  39</t>
  </si>
  <si>
    <t xml:space="preserve">40  35  31  9  1  4  30</t>
  </si>
  <si>
    <t xml:space="preserve">15  17  40  24  16  35  12  3</t>
  </si>
  <si>
    <t xml:space="preserve">17  4  35  40  14  24</t>
  </si>
  <si>
    <t xml:space="preserve">4  17  12  3  19  7  24</t>
  </si>
  <si>
    <t xml:space="preserve">3  4  1  35  5  40  17  18</t>
  </si>
  <si>
    <t xml:space="preserve">17  30  14  2  40  28  1</t>
  </si>
  <si>
    <t xml:space="preserve">4  14  30  18  35  5  24</t>
  </si>
  <si>
    <t xml:space="preserve">1  35  4  3  7  24  2</t>
  </si>
  <si>
    <t xml:space="preserve">1  3  24  35  39  5  9</t>
  </si>
  <si>
    <t xml:space="preserve">10  7  32  4  3  17 </t>
  </si>
  <si>
    <t xml:space="preserve">15  3  12  21  33  35</t>
  </si>
  <si>
    <t xml:space="preserve">21  16  17  14  13  9  35</t>
  </si>
  <si>
    <t xml:space="preserve">3  35  29  31  28  4  12  17</t>
  </si>
  <si>
    <t xml:space="preserve">28  35  15  29  40  1  3  4</t>
  </si>
  <si>
    <t xml:space="preserve">35  6  12  26  4  3</t>
  </si>
  <si>
    <t xml:space="preserve">35  24  19  3  4  22</t>
  </si>
  <si>
    <t xml:space="preserve">3  35  18  4  14  13</t>
  </si>
  <si>
    <t xml:space="preserve">1  17  30  27  9  37  36</t>
  </si>
  <si>
    <t xml:space="preserve">35  40  17  5  30  2  15</t>
  </si>
  <si>
    <t xml:space="preserve">40  4  35  14  24  3  39  14</t>
  </si>
  <si>
    <t xml:space="preserve">35  24  1  7  5  13  10  3  22</t>
  </si>
  <si>
    <t xml:space="preserve">19  35  32  24  39  28  1</t>
  </si>
  <si>
    <t xml:space="preserve">35  28  25  2  15  19  3  4  13  </t>
  </si>
  <si>
    <t xml:space="preserve">34  35  24  15  36  10  1  12</t>
  </si>
  <si>
    <t xml:space="preserve">10  25  9  23  5  35  1  3</t>
  </si>
  <si>
    <t xml:space="preserve">10  3  35  12  36  25  4</t>
  </si>
  <si>
    <t xml:space="preserve">4  7  10  32  21  3  37</t>
  </si>
  <si>
    <t xml:space="preserve">14  31  13  15  18  9  1  35</t>
  </si>
  <si>
    <t xml:space="preserve">1  24  21  13  15  40  12</t>
  </si>
  <si>
    <t xml:space="preserve">1  15  29  14  3  17  4  24</t>
  </si>
  <si>
    <t xml:space="preserve">5  17  1  29  23  24  3</t>
  </si>
  <si>
    <t xml:space="preserve">10  15  23  5  4  24  14  6  3  </t>
  </si>
  <si>
    <t xml:space="preserve">40  24  35  4  12  17  7  39  33</t>
  </si>
  <si>
    <t xml:space="preserve">1  24  27  17  30  12  40</t>
  </si>
  <si>
    <t xml:space="preserve">28  35  1  17  12  30</t>
  </si>
  <si>
    <t xml:space="preserve">31  30  35  39  16  24  10  3  5</t>
  </si>
  <si>
    <t xml:space="preserve">2  17  28  24  40  3  26  35</t>
  </si>
  <si>
    <t xml:space="preserve">35  1  24  9  3  25  7  13  12</t>
  </si>
  <si>
    <t xml:space="preserve">28  4  40  24  7  3  1</t>
  </si>
  <si>
    <t xml:space="preserve">17  26  4  10  35  1  34</t>
  </si>
  <si>
    <t xml:space="preserve">2  10  3  17  13  30  19</t>
  </si>
  <si>
    <t xml:space="preserve">28  2  25  35  18  5  40  39</t>
  </si>
  <si>
    <t xml:space="preserve">19  31  1  35  2  17  3</t>
  </si>
  <si>
    <t xml:space="preserve">10  26  19  23  17  13  1</t>
  </si>
  <si>
    <t xml:space="preserve">1  37  32  31  40  5  24  17</t>
  </si>
  <si>
    <t xml:space="preserve">4  17  26  10  37  34  24</t>
  </si>
  <si>
    <t xml:space="preserve">35  1  8  31  30  6  14  13  29</t>
  </si>
  <si>
    <t xml:space="preserve">35  17  12  1  31  13  16</t>
  </si>
  <si>
    <t xml:space="preserve">17  30  15  26  19  29  4  24</t>
  </si>
  <si>
    <t xml:space="preserve">17  4  26  28  1  31</t>
  </si>
  <si>
    <t xml:space="preserve">13  29  17  31  28  14  16  3</t>
  </si>
  <si>
    <t xml:space="preserve">31  6  26  24  1  3</t>
  </si>
  <si>
    <t xml:space="preserve">30  35  31  6  3  24  4</t>
  </si>
  <si>
    <t xml:space="preserve">24  15  31  16  1  3  35  7  30</t>
  </si>
  <si>
    <t xml:space="preserve">15  2  24  30  5  7  30  17  13</t>
  </si>
  <si>
    <t xml:space="preserve">30  31  35  3  15  24  25</t>
  </si>
  <si>
    <t xml:space="preserve">2  19  7  16  37  4  1  </t>
  </si>
  <si>
    <t xml:space="preserve">28  29  35  13  1  24  19  12</t>
  </si>
  <si>
    <t xml:space="preserve">15  13  16  2  17  3  35</t>
  </si>
  <si>
    <t xml:space="preserve">10  14  35  24  15  28  12  29</t>
  </si>
  <si>
    <t xml:space="preserve">35  15  17  14  6  7  13</t>
  </si>
  <si>
    <t xml:space="preserve">29  13  19  35  15  16  12  1</t>
  </si>
  <si>
    <t xml:space="preserve">35  16  1  19  3  12  17  </t>
  </si>
  <si>
    <t xml:space="preserve">19  1  24  35  29  28  12</t>
  </si>
  <si>
    <t xml:space="preserve">15  29  13  28  24  12  4  16</t>
  </si>
  <si>
    <t xml:space="preserve">35  40  3  17  13  24  9  19  </t>
  </si>
  <si>
    <t xml:space="preserve">35  40  4  14  30  31  24  3</t>
  </si>
  <si>
    <t xml:space="preserve">35  5  19  36  2  3  15  24</t>
  </si>
  <si>
    <t xml:space="preserve">1  35  32  19  17  24  28  26</t>
  </si>
  <si>
    <t xml:space="preserve">19  3  13  25  4  37  35</t>
  </si>
  <si>
    <t xml:space="preserve">13  10  3  15  19  40  24</t>
  </si>
  <si>
    <t xml:space="preserve">28  15  29  35  4  24  6  10</t>
  </si>
  <si>
    <t xml:space="preserve">15  19  3  1  18  35  34  </t>
  </si>
  <si>
    <t xml:space="preserve">7  3  10  26  37  13  24</t>
  </si>
  <si>
    <t xml:space="preserve">31  9  30  14  18  29  3</t>
  </si>
  <si>
    <t xml:space="preserve">1  19  21  10  24  5  35</t>
  </si>
  <si>
    <t xml:space="preserve">24  25  4  30  35  17  12  11</t>
  </si>
  <si>
    <t xml:space="preserve">1  5  3  28  2  25  13</t>
  </si>
  <si>
    <t xml:space="preserve">15  24  3  4  28  14  13  26  10</t>
  </si>
  <si>
    <t xml:space="preserve">35  40  24  30  10  36  17  31</t>
  </si>
  <si>
    <t xml:space="preserve">1  7  4  3  28  2  23</t>
  </si>
  <si>
    <t xml:space="preserve">28  24  18  10  4  17  1</t>
  </si>
  <si>
    <t xml:space="preserve">3  16  13  30  31  12  24  5</t>
  </si>
  <si>
    <t xml:space="preserve">29  28  2  32  3  7  24</t>
  </si>
  <si>
    <t xml:space="preserve">35  24  31  3  40  11  19  14  17</t>
  </si>
  <si>
    <t xml:space="preserve">10  13  29  31  1  28  24  5</t>
  </si>
  <si>
    <t xml:space="preserve">40  35  29  16  25  3  37  4</t>
  </si>
  <si>
    <t xml:space="preserve">6  10  28  29  15  35  2</t>
  </si>
  <si>
    <t xml:space="preserve">1  15  25  2  10  24  13  17</t>
  </si>
  <si>
    <t xml:space="preserve">6  28  29  31  35  40  17  25</t>
  </si>
  <si>
    <t xml:space="preserve">28  25  37  19  3  4  1</t>
  </si>
  <si>
    <t xml:space="preserve">25  28  32  40  37  4  29</t>
  </si>
  <si>
    <t xml:space="preserve">1  10  35  4  37  3  12  13</t>
  </si>
  <si>
    <t xml:space="preserve">1  8  15  28  26  13</t>
  </si>
  <si>
    <t xml:space="preserve">1  28  15  26  13</t>
  </si>
  <si>
    <t xml:space="preserve">24  4  28  17  3  15  2</t>
  </si>
  <si>
    <t xml:space="preserve">24  28  17  4  3  2</t>
  </si>
  <si>
    <t xml:space="preserve">28  17  13  1  4  35  2</t>
  </si>
  <si>
    <t xml:space="preserve">28  13  17  1  4  2</t>
  </si>
  <si>
    <t xml:space="preserve">2  24  28  3  26  1</t>
  </si>
  <si>
    <t xml:space="preserve">2  26  24  28  1</t>
  </si>
  <si>
    <t xml:space="preserve">13  28  7  24  17</t>
  </si>
  <si>
    <t xml:space="preserve">28  31  2  13  26  35  5  17</t>
  </si>
  <si>
    <t xml:space="preserve">10  24  3  2  37  6</t>
  </si>
  <si>
    <t xml:space="preserve">2  10  7  5  40  19</t>
  </si>
  <si>
    <t xml:space="preserve">2  10  7  5  40  3</t>
  </si>
  <si>
    <t xml:space="preserve">1  2  10  6  5  4</t>
  </si>
  <si>
    <t xml:space="preserve">6  24  29  12  3  15</t>
  </si>
  <si>
    <t xml:space="preserve">29  28  12  3  25  2  13</t>
  </si>
  <si>
    <t xml:space="preserve">2  24  25  19  5  13</t>
  </si>
  <si>
    <t xml:space="preserve">6  29  25  28  12  16  2</t>
  </si>
  <si>
    <t xml:space="preserve">24  40  3 12  9  5  13  29</t>
  </si>
  <si>
    <t xml:space="preserve">2  35  29  30  17  9  33</t>
  </si>
  <si>
    <t xml:space="preserve">35  24  33  27  3  10</t>
  </si>
  <si>
    <t xml:space="preserve">21  39  35  9  22  7</t>
  </si>
  <si>
    <t xml:space="preserve">25  28  2  6  13</t>
  </si>
  <si>
    <t xml:space="preserve">12  3  19  37  2  15</t>
  </si>
  <si>
    <t xml:space="preserve">13  3  17  22  4  9  12</t>
  </si>
  <si>
    <t xml:space="preserve">2  10  13  25  5</t>
  </si>
  <si>
    <t xml:space="preserve">2  13  9  12  5</t>
  </si>
  <si>
    <t xml:space="preserve">5  2  7  24  13  4</t>
  </si>
  <si>
    <t xml:space="preserve">2  10  24  37  25  31</t>
  </si>
  <si>
    <t xml:space="preserve">24  35  12  1  21</t>
  </si>
  <si>
    <t xml:space="preserve">3  11  32  33  24  16  30</t>
  </si>
  <si>
    <t xml:space="preserve">28  10  24  6  15  7</t>
  </si>
  <si>
    <t xml:space="preserve">10  25  2  22  28</t>
  </si>
  <si>
    <t xml:space="preserve">9  35  24  10  37  12</t>
  </si>
  <si>
    <t xml:space="preserve">28  10  17  13  9  2</t>
  </si>
  <si>
    <t xml:space="preserve">24  10  28  25  1  15</t>
  </si>
  <si>
    <t xml:space="preserve">17  25  9  3  31  19</t>
  </si>
  <si>
    <t xml:space="preserve">28  7  13  17  3</t>
  </si>
  <si>
    <t xml:space="preserve">1  4  35  12  24  3  5  28</t>
  </si>
  <si>
    <t xml:space="preserve">2  16  17  30  35  28</t>
  </si>
  <si>
    <t xml:space="preserve">2  10  9  35  13  17  4  14</t>
  </si>
  <si>
    <t xml:space="preserve">10  17  16  13  5  37</t>
  </si>
  <si>
    <t xml:space="preserve">3  17  14  10  5  25</t>
  </si>
  <si>
    <t xml:space="preserve">28  24  13  12  5  17  4</t>
  </si>
  <si>
    <t xml:space="preserve">10  2  25  5  13</t>
  </si>
  <si>
    <t xml:space="preserve">25  10  37  17  28  13</t>
  </si>
  <si>
    <t xml:space="preserve">25  37  17  4  28  12</t>
  </si>
  <si>
    <t xml:space="preserve">Bedienungsfreundlich-
keit / Erlernbarkeit</t>
  </si>
  <si>
    <t xml:space="preserve">28  35  25  15  13  2  26  8</t>
  </si>
  <si>
    <t xml:space="preserve">28  35  25  26  13  1</t>
  </si>
  <si>
    <t xml:space="preserve">17  13  1  12  3  4  15</t>
  </si>
  <si>
    <t xml:space="preserve">17  1  13  4  28  3</t>
  </si>
  <si>
    <t xml:space="preserve">28  26  13  17  1  3  4  16</t>
  </si>
  <si>
    <t xml:space="preserve">28  26  17  1  4  3  16  15</t>
  </si>
  <si>
    <t xml:space="preserve">1  15  35  7  16  4  13  28</t>
  </si>
  <si>
    <t xml:space="preserve">28  31  2  4  19  39  17</t>
  </si>
  <si>
    <t xml:space="preserve">28  7  2  3  35  32  4  13</t>
  </si>
  <si>
    <t xml:space="preserve">35  1  13  17  14  4  12  2</t>
  </si>
  <si>
    <t xml:space="preserve">1  7  2  10  4  17  32 </t>
  </si>
  <si>
    <t xml:space="preserve">19  25  3  35  5  12  7  </t>
  </si>
  <si>
    <t xml:space="preserve">1  16  25  3  5  35  12</t>
  </si>
  <si>
    <t xml:space="preserve">13  25  5  2  24  35  28</t>
  </si>
  <si>
    <t xml:space="preserve">28  13  24  31  35  4  17</t>
  </si>
  <si>
    <t xml:space="preserve">24  1  13  28  12  19  3</t>
  </si>
  <si>
    <t xml:space="preserve">24  28  12  3  1  13  15</t>
  </si>
  <si>
    <t xml:space="preserve">10  28  35  2   1  21  36  37</t>
  </si>
  <si>
    <t xml:space="preserve">12  23  4  29  2  9  35</t>
  </si>
  <si>
    <t xml:space="preserve">19  3  12  16  1  4  7</t>
  </si>
  <si>
    <t xml:space="preserve">25  1  30  24  40  19  3</t>
  </si>
  <si>
    <t xml:space="preserve">31  13  24  26  35  19</t>
  </si>
  <si>
    <t xml:space="preserve">19  13  24  1  17  32</t>
  </si>
  <si>
    <t xml:space="preserve">25  10  2  37  19  3  32</t>
  </si>
  <si>
    <t xml:space="preserve">24  2  3  4  34  28  12</t>
  </si>
  <si>
    <t xml:space="preserve">23  10  4  32  28  5  25</t>
  </si>
  <si>
    <t xml:space="preserve">19  25  13  3  2  28  16</t>
  </si>
  <si>
    <t xml:space="preserve">10  37  1  24  32  4  26</t>
  </si>
  <si>
    <t xml:space="preserve">2  3  31  9  35  28  18  17</t>
  </si>
  <si>
    <t xml:space="preserve">25  19  2  1  20  3  37</t>
  </si>
  <si>
    <t xml:space="preserve">35  31  24  4  32  25  27  1  </t>
  </si>
  <si>
    <t xml:space="preserve">10  25  1  26  5  24  4  29  28</t>
  </si>
  <si>
    <t xml:space="preserve">25  1  24  6  28  4</t>
  </si>
  <si>
    <t xml:space="preserve">40  35  2  17  12  29  23</t>
  </si>
  <si>
    <t xml:space="preserve">1  17  13  24  26  3  27  19</t>
  </si>
  <si>
    <t xml:space="preserve">3  28  5  23  24  13  25</t>
  </si>
  <si>
    <t xml:space="preserve">2  25  28  4  5  24  13  17</t>
  </si>
  <si>
    <t xml:space="preserve">28  29  22  32  3  7  24</t>
  </si>
  <si>
    <t xml:space="preserve">35  2  25  11  39  16  5  30</t>
  </si>
  <si>
    <t xml:space="preserve">29  36  24  5  12  2  10  1</t>
  </si>
  <si>
    <t xml:space="preserve">15  29  35  2  1  28  13</t>
  </si>
  <si>
    <t xml:space="preserve">10  1  12  3  34  13  28</t>
  </si>
  <si>
    <t xml:space="preserve">1  5  28  15  25  13  17</t>
  </si>
  <si>
    <t xml:space="preserve">28  29  5  12  32  17  26</t>
  </si>
  <si>
    <t xml:space="preserve">1  25  37  5  3  10</t>
  </si>
  <si>
    <t xml:space="preserve">28  5  32  16  10  9</t>
  </si>
  <si>
    <t xml:space="preserve">25  13  1  32  2  24  37</t>
  </si>
  <si>
    <t xml:space="preserve">40  5  3  12  8  28  35  31</t>
  </si>
  <si>
    <t xml:space="preserve">3  35  14  28  10  8  5  40</t>
  </si>
  <si>
    <t xml:space="preserve">14  17  15  4  35  9  40  3</t>
  </si>
  <si>
    <t xml:space="preserve">28  24  3  35  7  4  17</t>
  </si>
  <si>
    <t xml:space="preserve">17  14  15  10  4  3  35  7  9</t>
  </si>
  <si>
    <t xml:space="preserve">35  3  14  4  5  10  40  28  17</t>
  </si>
  <si>
    <t xml:space="preserve">14  7  15  24  35  3  10  1</t>
  </si>
  <si>
    <t xml:space="preserve">5  35  3  17  14  24  7  31  2</t>
  </si>
  <si>
    <t xml:space="preserve">35  1  40  4  30  2  17  24</t>
  </si>
  <si>
    <t xml:space="preserve">3  28  40  31  5  25  4  2</t>
  </si>
  <si>
    <t xml:space="preserve">10  24  32  3  25  5  2 </t>
  </si>
  <si>
    <t xml:space="preserve">35  3  2  40  25  19  13</t>
  </si>
  <si>
    <t xml:space="preserve">35  3  12  25  2  23  5</t>
  </si>
  <si>
    <t xml:space="preserve">35  28  24  4  5  10</t>
  </si>
  <si>
    <t xml:space="preserve">8  28  3  4  1  17  14  9</t>
  </si>
  <si>
    <t xml:space="preserve">35  19  3  14  1  21  37</t>
  </si>
  <si>
    <t xml:space="preserve">35  19  3  1  13  12</t>
  </si>
  <si>
    <t xml:space="preserve">35  1  4  10  40  16  3</t>
  </si>
  <si>
    <t xml:space="preserve">35  10  19  24  40  3  5  12</t>
  </si>
  <si>
    <t xml:space="preserve">35  40  3  4  12  1  24  28</t>
  </si>
  <si>
    <t xml:space="preserve">40  35  3  1  39  24  2</t>
  </si>
  <si>
    <t xml:space="preserve">3  35  15  10  30  37  36  1</t>
  </si>
  <si>
    <t xml:space="preserve">35  37  24  13  32  3  11  5</t>
  </si>
  <si>
    <t xml:space="preserve">15  3  19  35  13  28  23</t>
  </si>
  <si>
    <t xml:space="preserve">35  15  10  12  3  4  39  2</t>
  </si>
  <si>
    <t xml:space="preserve">10  2  25  5  4  30  3</t>
  </si>
  <si>
    <t xml:space="preserve">10  19  35  23  28  3  40</t>
  </si>
  <si>
    <t xml:space="preserve">10  25  28  32  5  24  </t>
  </si>
  <si>
    <t xml:space="preserve">35  13  25  4  9  28  24</t>
  </si>
  <si>
    <t xml:space="preserve">3  24  13  35  19  31  21  1</t>
  </si>
  <si>
    <t xml:space="preserve">2  26  35  40  33  7  4  19  3</t>
  </si>
  <si>
    <t xml:space="preserve">35  28  13  12  24  29  19  3  4</t>
  </si>
  <si>
    <t xml:space="preserve">1  25  10  3  5  35  13</t>
  </si>
  <si>
    <t xml:space="preserve">28  1  40  29  3  19  13</t>
  </si>
  <si>
    <t xml:space="preserve">1  11  15  27  25  7</t>
  </si>
  <si>
    <t xml:space="preserve">10  13  2  24  4  20  17</t>
  </si>
  <si>
    <t xml:space="preserve">28  35  2  11  31  3  19</t>
  </si>
  <si>
    <t xml:space="preserve">3  14  31  29  7  32</t>
  </si>
  <si>
    <t xml:space="preserve">40  2  5  12  33  25  37  19  3</t>
  </si>
  <si>
    <t xml:space="preserve">28  10  35  4  40</t>
  </si>
  <si>
    <t xml:space="preserve">1  3  13  10  4  32  39  12</t>
  </si>
  <si>
    <t xml:space="preserve">35  10  1  13  17  27  28</t>
  </si>
  <si>
    <t xml:space="preserve">35  1  10  28  29  32  33</t>
  </si>
  <si>
    <t xml:space="preserve">5  35  13  33  15  29  3  17</t>
  </si>
  <si>
    <t xml:space="preserve">1  19  25  37  10</t>
  </si>
  <si>
    <t xml:space="preserve">28  40  25  32  37  18  3</t>
  </si>
  <si>
    <t xml:space="preserve">3  10  37  32  7  4</t>
  </si>
  <si>
    <t xml:space="preserve">8  35  13  17  28  30</t>
  </si>
  <si>
    <t xml:space="preserve">35  17  13  28  2  4  7</t>
  </si>
  <si>
    <t xml:space="preserve">17  1  28  29  13  10  3  18</t>
  </si>
  <si>
    <t xml:space="preserve">17  3  1  18  13  28  31  25</t>
  </si>
  <si>
    <t xml:space="preserve">13  15  17  1  18  32</t>
  </si>
  <si>
    <t xml:space="preserve">13  17  1  25  16  3</t>
  </si>
  <si>
    <t xml:space="preserve">15  35  30  2  13  1</t>
  </si>
  <si>
    <t xml:space="preserve">1  13  25  2  16  34  3</t>
  </si>
  <si>
    <t xml:space="preserve">4  7  13  15  17  2  1</t>
  </si>
  <si>
    <t xml:space="preserve">3  25  1  35  10  2  24</t>
  </si>
  <si>
    <t xml:space="preserve"> 24  9  2  37  26  1</t>
  </si>
  <si>
    <t xml:space="preserve">28  34  35  3  11  1  25</t>
  </si>
  <si>
    <t xml:space="preserve">3  35  1  11  4  16  25</t>
  </si>
  <si>
    <t xml:space="preserve">34  9  5  15  3</t>
  </si>
  <si>
    <t xml:space="preserve">1  10  7  15  13  3</t>
  </si>
  <si>
    <t xml:space="preserve">28  1  15  13  3  16</t>
  </si>
  <si>
    <t xml:space="preserve">28  13  3  1  16</t>
  </si>
  <si>
    <t xml:space="preserve">15  10  2  13  1  4</t>
  </si>
  <si>
    <t xml:space="preserve">1  3  13  25  31  4  40  9</t>
  </si>
  <si>
    <t xml:space="preserve">1  4  17  9  24  29  3  37</t>
  </si>
  <si>
    <t xml:space="preserve">2  35  7  19  24  25</t>
  </si>
  <si>
    <t xml:space="preserve">24  13  4  37  10  29  25  36</t>
  </si>
  <si>
    <t xml:space="preserve">15  13  32  1  3</t>
  </si>
  <si>
    <t xml:space="preserve">2  17  27  19  4  7</t>
  </si>
  <si>
    <t xml:space="preserve">2  35  34  4  12  24  36</t>
  </si>
  <si>
    <t xml:space="preserve">5  10  24  25  2  1  31</t>
  </si>
  <si>
    <t xml:space="preserve">19  15  13  1  12  32  3</t>
  </si>
  <si>
    <t xml:space="preserve">3  9  13  26  1  37  32</t>
  </si>
  <si>
    <t xml:space="preserve">14  17  31  3  5  35</t>
  </si>
  <si>
    <t xml:space="preserve">2  10  1  13  3  19</t>
  </si>
  <si>
    <t xml:space="preserve">35  15  39  12  28  40  33</t>
  </si>
  <si>
    <t xml:space="preserve">1  7  15  16  4  24  14</t>
  </si>
  <si>
    <t xml:space="preserve">2  10  13  4  17  24</t>
  </si>
  <si>
    <t xml:space="preserve">1  15  26  25  10</t>
  </si>
  <si>
    <t xml:space="preserve">35  10  5  7  11  30</t>
  </si>
  <si>
    <t xml:space="preserve">1  28  3  10  4</t>
  </si>
  <si>
    <t xml:space="preserve">4  10  2  22  13  28</t>
  </si>
  <si>
    <t xml:space="preserve">17  7  13  30  37</t>
  </si>
  <si>
    <t xml:space="preserve">10  3  40  16  30  21  2  39</t>
  </si>
  <si>
    <t xml:space="preserve">10  7  35  32  9  2  30</t>
  </si>
  <si>
    <t xml:space="preserve">10  35  2  1  25</t>
  </si>
  <si>
    <t xml:space="preserve">10  13  34  7  35  25  1</t>
  </si>
  <si>
    <t xml:space="preserve">2  10  1  32  25  17  13</t>
  </si>
  <si>
    <t xml:space="preserve">35  30  28  17  6  13  1</t>
  </si>
  <si>
    <t xml:space="preserve">2  35  4  10  1  17  13</t>
  </si>
  <si>
    <t xml:space="preserve">25  10  3  32  37  24</t>
  </si>
  <si>
    <t xml:space="preserve">37  10  13  25  2  24</t>
  </si>
  <si>
    <t xml:space="preserve">28  30  3  22  13  35  26</t>
  </si>
  <si>
    <t xml:space="preserve">3  31  35  28  26  22</t>
  </si>
  <si>
    <t xml:space="preserve">17  13  28  4  30</t>
  </si>
  <si>
    <t xml:space="preserve">17  28  14  29  26</t>
  </si>
  <si>
    <t xml:space="preserve">17  28  1  4  13</t>
  </si>
  <si>
    <t xml:space="preserve">17  7  28  39  4  13</t>
  </si>
  <si>
    <t xml:space="preserve">13  28  30  1  17</t>
  </si>
  <si>
    <t xml:space="preserve">13  28  15  39  1  17</t>
  </si>
  <si>
    <t xml:space="preserve">3  2  17  13  24  40  26</t>
  </si>
  <si>
    <t xml:space="preserve">13  28  35  37  2</t>
  </si>
  <si>
    <t xml:space="preserve">3  28  32  24  13  2</t>
  </si>
  <si>
    <t xml:space="preserve">13  14  10  37  35  17  18</t>
  </si>
  <si>
    <t xml:space="preserve">35  10  37  17  18  12</t>
  </si>
  <si>
    <t xml:space="preserve">28  37  4  17  3  18</t>
  </si>
  <si>
    <t xml:space="preserve">2  3  17  14  13  9  29</t>
  </si>
  <si>
    <t xml:space="preserve">32  12  13  25  4  9</t>
  </si>
  <si>
    <t xml:space="preserve">32  12  4  9  13</t>
  </si>
  <si>
    <t xml:space="preserve">12  13  9  35  37  32  25</t>
  </si>
  <si>
    <t xml:space="preserve">37  17  4  3  9  14</t>
  </si>
  <si>
    <t xml:space="preserve">28  2  13  17  40  14</t>
  </si>
  <si>
    <t xml:space="preserve">13  12  5  24  3  17</t>
  </si>
  <si>
    <t xml:space="preserve">1  31  37  19  4  3  7  </t>
  </si>
  <si>
    <t xml:space="preserve">28  37  26  32  3  1</t>
  </si>
  <si>
    <t xml:space="preserve">2  1  17  3  10  25</t>
  </si>
  <si>
    <t xml:space="preserve">35  31  5  7  24</t>
  </si>
  <si>
    <t xml:space="preserve">26  28  25  2  9  17</t>
  </si>
  <si>
    <t xml:space="preserve">26  32  13  25  4  9</t>
  </si>
  <si>
    <t xml:space="preserve">2  37  4  16  13</t>
  </si>
  <si>
    <t xml:space="preserve">37  4  2  13  35  3</t>
  </si>
  <si>
    <t xml:space="preserve">2  1  10  35  19</t>
  </si>
  <si>
    <t xml:space="preserve">3  5  27  25  21  15  19  11</t>
  </si>
  <si>
    <t xml:space="preserve">1  28  24  32  17  13</t>
  </si>
  <si>
    <t xml:space="preserve">15  17  24  4  6  37  1</t>
  </si>
  <si>
    <t xml:space="preserve">25  10  13  3  22</t>
  </si>
  <si>
    <t xml:space="preserve">35  37  13  4  2</t>
  </si>
  <si>
    <t xml:space="preserve">13  4  3  2  27</t>
  </si>
  <si>
    <t xml:space="preserve">15  23  1  31  26  30</t>
  </si>
  <si>
    <t xml:space="preserve">7  28  3  1  24  17  </t>
  </si>
  <si>
    <t xml:space="preserve">2  10  40  35  33  30  39</t>
  </si>
  <si>
    <t xml:space="preserve">10  1  12  13  17  2  35</t>
  </si>
  <si>
    <t xml:space="preserve">16  10  24  3  4  13</t>
  </si>
  <si>
    <t xml:space="preserve">2  10  17  12  6  25</t>
  </si>
  <si>
    <t xml:space="preserve">28  17  10  4  2  19  3  32</t>
  </si>
  <si>
    <t xml:space="preserve">2  6  4  17  13  26</t>
  </si>
  <si>
    <t xml:space="preserve">25  37  9  26  4</t>
  </si>
  <si>
    <t xml:space="preserve">37  17  4  28  13  31</t>
  </si>
  <si>
    <t xml:space="preserve">37  4  26  3  12  25  2</t>
  </si>
  <si>
    <t xml:space="preserve">8  31  30  13  12  40  26</t>
  </si>
  <si>
    <t xml:space="preserve">31  30  13  12  40  1  26</t>
  </si>
  <si>
    <t xml:space="preserve">3  17  14  4  2  31  30  37</t>
  </si>
  <si>
    <t xml:space="preserve">3  17  2  31  14  4  30  13</t>
  </si>
  <si>
    <t xml:space="preserve">17  15  13  4  30  14  3</t>
  </si>
  <si>
    <t xml:space="preserve">17  14  13  4  2  3</t>
  </si>
  <si>
    <t xml:space="preserve">13  31  15  17  35</t>
  </si>
  <si>
    <t xml:space="preserve">13  35  31  17  2</t>
  </si>
  <si>
    <t xml:space="preserve">4  13  7  14  15  30  35</t>
  </si>
  <si>
    <t xml:space="preserve">35  31  13  9  5  30</t>
  </si>
  <si>
    <t xml:space="preserve">10  25  3  2  5  24  22</t>
  </si>
  <si>
    <t xml:space="preserve">10  13  5  15  19  2  35</t>
  </si>
  <si>
    <t xml:space="preserve">19  10  13  5  37  2  35</t>
  </si>
  <si>
    <t xml:space="preserve">14  31  13  3  17  19  7</t>
  </si>
  <si>
    <t xml:space="preserve">17  13  19  3  14  7  31  24</t>
  </si>
  <si>
    <t xml:space="preserve">35  12  19  1  39  24  5</t>
  </si>
  <si>
    <t xml:space="preserve">39  35  24  12  1  19</t>
  </si>
  <si>
    <t xml:space="preserve">1  19  34  11  13  24  23</t>
  </si>
  <si>
    <t xml:space="preserve">35  40  3  9  31  4  5</t>
  </si>
  <si>
    <t xml:space="preserve">35  31  40  3  9  7  4  5</t>
  </si>
  <si>
    <t xml:space="preserve">35  5  40  31  9  3  39</t>
  </si>
  <si>
    <t xml:space="preserve">31  35  36  3  19  2  13  4</t>
  </si>
  <si>
    <t xml:space="preserve">28  19  24  2  13  35</t>
  </si>
  <si>
    <t xml:space="preserve">12  13  1  7  31  35  19  2</t>
  </si>
  <si>
    <t xml:space="preserve">34  12  13  3  31  24</t>
  </si>
  <si>
    <t xml:space="preserve">10  5  13  12  19</t>
  </si>
  <si>
    <t xml:space="preserve">19  13  12  35  1  24  3</t>
  </si>
  <si>
    <t xml:space="preserve">3  24  28  5  7  13</t>
  </si>
  <si>
    <t xml:space="preserve">28  19  24  39  13  10</t>
  </si>
  <si>
    <t xml:space="preserve">1  35  24  39  19  13</t>
  </si>
  <si>
    <t xml:space="preserve">35  31  1  33  16  21  11</t>
  </si>
  <si>
    <t xml:space="preserve">30  13  15  28  17  29  5</t>
  </si>
  <si>
    <t xml:space="preserve">24  28  2  13  6</t>
  </si>
  <si>
    <t xml:space="preserve">2  4  26  19  13  16</t>
  </si>
  <si>
    <t xml:space="preserve">28  35  25  36  40  37  5</t>
  </si>
  <si>
    <t xml:space="preserve">17  1  28  13  3</t>
  </si>
  <si>
    <t xml:space="preserve">2  13  7  22  17  31</t>
  </si>
  <si>
    <t xml:space="preserve">2  7  30  19  3  15  9</t>
  </si>
  <si>
    <t xml:space="preserve">31  33  9  4  16  3  24</t>
  </si>
  <si>
    <t xml:space="preserve">30  31  10  3  36  18  13</t>
  </si>
  <si>
    <t xml:space="preserve">10  3  25  16  13</t>
  </si>
  <si>
    <t xml:space="preserve">10  3  25  13  24  15  29</t>
  </si>
  <si>
    <t xml:space="preserve">10  13  1  15  8</t>
  </si>
  <si>
    <t xml:space="preserve">5  31  10  27  30  40</t>
  </si>
  <si>
    <t xml:space="preserve">25  7  10  1  24  28</t>
  </si>
  <si>
    <t xml:space="preserve">28  32  37  17  3  13  26</t>
  </si>
  <si>
    <t xml:space="preserve">28  37  3  7  25  4</t>
  </si>
  <si>
    <t xml:space="preserve">30  40  3  35  29  8</t>
  </si>
  <si>
    <t xml:space="preserve">35  40  3  8  17</t>
  </si>
  <si>
    <t xml:space="preserve">17  14  3  32  1  15  7</t>
  </si>
  <si>
    <t xml:space="preserve">17  14  15  3  32</t>
  </si>
  <si>
    <t xml:space="preserve">14  17  4  15  7  30  32</t>
  </si>
  <si>
    <t xml:space="preserve">14  17  1  4  3  32  24</t>
  </si>
  <si>
    <t xml:space="preserve">14  15  7  28  32  3  2</t>
  </si>
  <si>
    <t xml:space="preserve">28  14  3  32  7  24  2</t>
  </si>
  <si>
    <t xml:space="preserve">15  2  32  31  13  5  1</t>
  </si>
  <si>
    <t xml:space="preserve">30  31  40  3  35  29  1  28  2</t>
  </si>
  <si>
    <t xml:space="preserve">7  24  17  10  28  32  2  3</t>
  </si>
  <si>
    <t xml:space="preserve">3  2  6  32  11  28</t>
  </si>
  <si>
    <t xml:space="preserve">2  28  6  32  15  1  5</t>
  </si>
  <si>
    <t xml:space="preserve">15  3  14  19  26</t>
  </si>
  <si>
    <t xml:space="preserve">3  28  7  31  4  15  19  14</t>
  </si>
  <si>
    <t xml:space="preserve">15  3  19  28  7  4  14  1</t>
  </si>
  <si>
    <t xml:space="preserve">3  28  19  14  1  8  38</t>
  </si>
  <si>
    <t xml:space="preserve">15  4  14  32  1  19  24</t>
  </si>
  <si>
    <t xml:space="preserve">40  9  17  7  5  2  26  35</t>
  </si>
  <si>
    <t xml:space="preserve">9  17  40  2  35  7  5  3</t>
  </si>
  <si>
    <t xml:space="preserve">3  40  10  35  4  31  29  17</t>
  </si>
  <si>
    <t xml:space="preserve">35  31  3  15  2  36  40</t>
  </si>
  <si>
    <t xml:space="preserve">32  3  35  19  1  5  15  4</t>
  </si>
  <si>
    <t xml:space="preserve">2  13  28  5  27  4  15  29</t>
  </si>
  <si>
    <t xml:space="preserve">28  17  3  4  1  34  12</t>
  </si>
  <si>
    <t xml:space="preserve">7  10  6  2  9  12  24  15</t>
  </si>
  <si>
    <t xml:space="preserve">28  3  15  31  24  35  1</t>
  </si>
  <si>
    <t xml:space="preserve">3  7  32  10  4  24  19</t>
  </si>
  <si>
    <t xml:space="preserve">3  14  35  31  13  9  4</t>
  </si>
  <si>
    <t xml:space="preserve">4  28  15  29  35  1  10  7</t>
  </si>
  <si>
    <t xml:space="preserve">35  2  13  29  19  22  34  15  31</t>
  </si>
  <si>
    <t xml:space="preserve">28  7  15  29  13  1  3  2</t>
  </si>
  <si>
    <t xml:space="preserve">28  5  17  3  32  7</t>
  </si>
  <si>
    <t xml:space="preserve">28  6  7  17  3  24</t>
  </si>
  <si>
    <t xml:space="preserve">2  28  35  3  4  40  13</t>
  </si>
  <si>
    <t xml:space="preserve">3  7  13  17  28  24  27</t>
  </si>
  <si>
    <t xml:space="preserve">28  7  24  9  31  13  32</t>
  </si>
  <si>
    <t xml:space="preserve">2  28  31  40  17  26  4  30</t>
  </si>
  <si>
    <t xml:space="preserve">2 12  5  19  40  31  30  29</t>
  </si>
  <si>
    <t xml:space="preserve">16  10  2  6  22  1  25  13</t>
  </si>
  <si>
    <t xml:space="preserve">3  22  10  24  32  13  30</t>
  </si>
  <si>
    <t xml:space="preserve">10  29  28  1  35  17</t>
  </si>
  <si>
    <t xml:space="preserve">28  10  35  1  2  17  3</t>
  </si>
  <si>
    <t xml:space="preserve">28  2  13  24  7  5  14  17</t>
  </si>
  <si>
    <t xml:space="preserve">7  13  2  32  19  37  26</t>
  </si>
  <si>
    <t xml:space="preserve">32  26  31  28  17  13  6  15  30</t>
  </si>
  <si>
    <t xml:space="preserve">26  10  32  37  3  17  7  28</t>
  </si>
  <si>
    <t xml:space="preserve">35  31  8  21  3  30  40</t>
  </si>
  <si>
    <t xml:space="preserve">35  2  31  13  40  24  3  17</t>
  </si>
  <si>
    <t xml:space="preserve">1  17  4  24  13  14  35  33  3</t>
  </si>
  <si>
    <t xml:space="preserve">35  17  18  1  14  10  3</t>
  </si>
  <si>
    <t xml:space="preserve">1  28  4  3  33  35  17  14</t>
  </si>
  <si>
    <t xml:space="preserve">17  2  35  14  3  24  4  39</t>
  </si>
  <si>
    <t xml:space="preserve">3  24  15  37  35  7  17  19</t>
  </si>
  <si>
    <t xml:space="preserve">5  17  39  19  2  4  35</t>
  </si>
  <si>
    <t xml:space="preserve">30  24  32  1  35  17  13</t>
  </si>
  <si>
    <t xml:space="preserve">31  30  35  28  4  17  26  40  2</t>
  </si>
  <si>
    <t xml:space="preserve">2  26  3  40  25  17</t>
  </si>
  <si>
    <t xml:space="preserve">15  28  35  24  21  4  3</t>
  </si>
  <si>
    <t xml:space="preserve">35  5  40  3  1  24  33</t>
  </si>
  <si>
    <t xml:space="preserve">24  35  28  21  13  3  19  1</t>
  </si>
  <si>
    <t xml:space="preserve">3  13  35  18  17  24  33  39</t>
  </si>
  <si>
    <t xml:space="preserve">6  24  1  26  15  14  17  3</t>
  </si>
  <si>
    <t xml:space="preserve">1  35  24  6  26  17  3  14</t>
  </si>
  <si>
    <t xml:space="preserve">19  2  31  10  24  6  1</t>
  </si>
  <si>
    <t xml:space="preserve">1  35  40  2  14  12  4  30</t>
  </si>
  <si>
    <t xml:space="preserve">35  1  40  17  12  3  5  14  24</t>
  </si>
  <si>
    <t xml:space="preserve">35  24  4  40  30  3  39  28</t>
  </si>
  <si>
    <t xml:space="preserve">35  31  33  17  12  40  2  5</t>
  </si>
  <si>
    <t xml:space="preserve">35  1  13  32  19  5  40  28  25</t>
  </si>
  <si>
    <t xml:space="preserve">2  3  35  28  10  19  5  4</t>
  </si>
  <si>
    <t xml:space="preserve">40  3  4  24  12  34  33  35</t>
  </si>
  <si>
    <t xml:space="preserve">18  3  24  23  35  40  10  12  32</t>
  </si>
  <si>
    <t xml:space="preserve">35  24  21  2  30  17  3  4</t>
  </si>
  <si>
    <t xml:space="preserve">32  10  25  2  7  3  31 </t>
  </si>
  <si>
    <t xml:space="preserve">31  1  17  14  35  3  7</t>
  </si>
  <si>
    <t xml:space="preserve">24  35  18  1  32  40  </t>
  </si>
  <si>
    <t xml:space="preserve">35  3  13  24  17  4  32  40  18</t>
  </si>
  <si>
    <t xml:space="preserve">35  15  31  30  4  11  16  40</t>
  </si>
  <si>
    <t xml:space="preserve">17  24  2  5  7  3</t>
  </si>
  <si>
    <t xml:space="preserve">25  28  3  15  10  4  6  2  31</t>
  </si>
  <si>
    <t xml:space="preserve">35  4  24  17  40  2  28  5  14</t>
  </si>
  <si>
    <t xml:space="preserve">10  3  14  25  27  5  4</t>
  </si>
  <si>
    <t xml:space="preserve">3  24  7  14  2  5  13  17</t>
  </si>
  <si>
    <t xml:space="preserve">3  15  19  32  9  14  35  5  24</t>
  </si>
  <si>
    <t xml:space="preserve">30  24  32  17  13  3  2</t>
  </si>
  <si>
    <t xml:space="preserve">35  24  1  40  3  39  4  13  17</t>
  </si>
  <si>
    <t xml:space="preserve">28  1  10  18  26  23  12</t>
  </si>
  <si>
    <t xml:space="preserve">10  3  34  4  23  33  1</t>
  </si>
  <si>
    <t xml:space="preserve">35  24  13  3  2  40  4  9  6</t>
  </si>
  <si>
    <t xml:space="preserve">4  40  2  5  17  19  29  28</t>
  </si>
  <si>
    <t xml:space="preserve">1  25  37  24  9  28  26</t>
  </si>
  <si>
    <t xml:space="preserve">5  1  17  18  32  40  28  39</t>
  </si>
  <si>
    <t xml:space="preserve">5  37  18  32  4  28</t>
  </si>
  <si>
    <t xml:space="preserve">28  1  8  15  5  3  29  13</t>
  </si>
  <si>
    <t xml:space="preserve">1  13  14  8  26  24  10  27  36</t>
  </si>
  <si>
    <t xml:space="preserve">14  13  1  17  15  10  2  29  5</t>
  </si>
  <si>
    <t xml:space="preserve">13  17  14  15  4  29  2  27  37</t>
  </si>
  <si>
    <t xml:space="preserve">13  1  26  17  12  4  2  16  30</t>
  </si>
  <si>
    <t xml:space="preserve">1  3  16  26  13  40  18  30</t>
  </si>
  <si>
    <t xml:space="preserve">13  1  7  30  3  35  40  29</t>
  </si>
  <si>
    <t xml:space="preserve">1  35  15  38  36  2  3</t>
  </si>
  <si>
    <t xml:space="preserve">29  13  1  16  28  30  24  27  35</t>
  </si>
  <si>
    <t xml:space="preserve">35  16  1  31  24  30  27  29  23</t>
  </si>
  <si>
    <t xml:space="preserve">6  2  10  7  15  13  1</t>
  </si>
  <si>
    <t xml:space="preserve">10  1  37  4  21  12  27  13</t>
  </si>
  <si>
    <t xml:space="preserve">10  1  16  35  37  3  13  38</t>
  </si>
  <si>
    <t xml:space="preserve">35  13  1  28  2  8  15  4</t>
  </si>
  <si>
    <t xml:space="preserve">35  12  28  29  1  10  3  13  2</t>
  </si>
  <si>
    <t xml:space="preserve">28  1  10  26  35  39  19</t>
  </si>
  <si>
    <t xml:space="preserve">28  1  10  26  4  19  35</t>
  </si>
  <si>
    <t xml:space="preserve">28  12  24  19  1  21  10</t>
  </si>
  <si>
    <t xml:space="preserve">35  10  1  19  21  12  13  22</t>
  </si>
  <si>
    <t xml:space="preserve">3  35  1  24  33  10  30</t>
  </si>
  <si>
    <t xml:space="preserve">1  11  3  13  39  33  24  9</t>
  </si>
  <si>
    <t xml:space="preserve">10  24  35  18  2  36  26</t>
  </si>
  <si>
    <t xml:space="preserve">32  24  1  35  28  2  27  25</t>
  </si>
  <si>
    <t xml:space="preserve">1  10  15  16  3  6  25</t>
  </si>
  <si>
    <t xml:space="preserve">19  34  33  9  15  2  12  13</t>
  </si>
  <si>
    <t xml:space="preserve">3  4  35  15  20  28</t>
  </si>
  <si>
    <t xml:space="preserve">19  35  2  13  10  24  16  15</t>
  </si>
  <si>
    <t xml:space="preserve">25  24  16  10  2  22  37  6</t>
  </si>
  <si>
    <t xml:space="preserve">24  9  2  39  13  25  5</t>
  </si>
  <si>
    <t xml:space="preserve">35  10  5  36  21  24</t>
  </si>
  <si>
    <t xml:space="preserve">35  10  5  21  24  39  29  7</t>
  </si>
  <si>
    <t xml:space="preserve">1  3  25  13  15  30  19  29</t>
  </si>
  <si>
    <t xml:space="preserve">28  3  6  2  13  15</t>
  </si>
  <si>
    <t xml:space="preserve">2  5  28  13  16  25  15</t>
  </si>
  <si>
    <t xml:space="preserve">2  3  35  9  28  27  33</t>
  </si>
  <si>
    <t xml:space="preserve">1  35  13  23  25  27</t>
  </si>
  <si>
    <t xml:space="preserve">1  24  10  13  5</t>
  </si>
  <si>
    <t xml:space="preserve">6  35  28  9  1  24</t>
  </si>
  <si>
    <t xml:space="preserve">30  24  16  32  3</t>
  </si>
  <si>
    <t xml:space="preserve">35  39  2  29  22  21  19  11  8</t>
  </si>
  <si>
    <t xml:space="preserve">3  16  25  12  24</t>
  </si>
  <si>
    <t xml:space="preserve">1  10  28  8  13  25</t>
  </si>
  <si>
    <t xml:space="preserve">1  13  15  14  5</t>
  </si>
  <si>
    <t xml:space="preserve">27  26  1  5  10  9</t>
  </si>
  <si>
    <t xml:space="preserve">25  3  19  13  6  32  39</t>
  </si>
  <si>
    <t xml:space="preserve">6  28  1  13  11  10</t>
  </si>
  <si>
    <t xml:space="preserve">35  12  1  6  28  13  15  29</t>
  </si>
  <si>
    <t xml:space="preserve">13  8  18  28  16  24  26</t>
  </si>
  <si>
    <t xml:space="preserve">35  28  9  17  31  26</t>
  </si>
  <si>
    <t xml:space="preserve">3  17  28  10  29  37  24</t>
  </si>
  <si>
    <t xml:space="preserve">17  1  10  32  24  37  2</t>
  </si>
  <si>
    <t xml:space="preserve">29  28  37  32  24  33</t>
  </si>
  <si>
    <t xml:space="preserve">29  18  36  37  32  2</t>
  </si>
  <si>
    <t xml:space="preserve">28  37  1  25  18  20  24</t>
  </si>
  <si>
    <t xml:space="preserve">35  28  25  10  18  20  1</t>
  </si>
  <si>
    <t xml:space="preserve">30  13  10  32  12  21  40</t>
  </si>
  <si>
    <t xml:space="preserve">30  25  32  9  13  12  3  31</t>
  </si>
  <si>
    <t xml:space="preserve">37  3  4  32  13  17</t>
  </si>
  <si>
    <t xml:space="preserve">5  40  16  3  20  19</t>
  </si>
  <si>
    <t xml:space="preserve">5  4  17  18  3  30  24</t>
  </si>
  <si>
    <t xml:space="preserve">10  32  28  3  17  4  19</t>
  </si>
  <si>
    <t xml:space="preserve">12  19  28  29  3  10  13</t>
  </si>
  <si>
    <t xml:space="preserve">2  26  32  3  19  21  13</t>
  </si>
  <si>
    <t xml:space="preserve">2  26  21  13  19  3  17</t>
  </si>
  <si>
    <t xml:space="preserve">2  32  21  16  3  19</t>
  </si>
  <si>
    <t xml:space="preserve">35  3  12  13  17  29  32</t>
  </si>
  <si>
    <t xml:space="preserve">3  17  7  35  29  32</t>
  </si>
  <si>
    <t xml:space="preserve">24  35  33  18  3  16  </t>
  </si>
  <si>
    <t xml:space="preserve">26  3  24  19  2  9</t>
  </si>
  <si>
    <t xml:space="preserve">32  19  3  2  5  13</t>
  </si>
  <si>
    <t xml:space="preserve">3  10  14  40  7  13</t>
  </si>
  <si>
    <t xml:space="preserve">10  31  35  24  36  37  3</t>
  </si>
  <si>
    <t xml:space="preserve">28  15  5  18  32  26</t>
  </si>
  <si>
    <t xml:space="preserve">2  16  13  32  35  29  3  31</t>
  </si>
  <si>
    <t xml:space="preserve">13  10  2  34  7  1  24</t>
  </si>
  <si>
    <t xml:space="preserve">2  13  7  37  35  9  18</t>
  </si>
  <si>
    <t xml:space="preserve">3  10  40  24  19</t>
  </si>
  <si>
    <t xml:space="preserve">10  17  35  4  23  34  26  33</t>
  </si>
  <si>
    <t xml:space="preserve">35  7  13  1  4  17  12</t>
  </si>
  <si>
    <t xml:space="preserve">13  4  9  28  15  2  1</t>
  </si>
  <si>
    <t xml:space="preserve">19  3  1  32  35  2  25</t>
  </si>
  <si>
    <t xml:space="preserve">28  25  13  1  5  11</t>
  </si>
  <si>
    <t xml:space="preserve">3  10  1  25  30  29</t>
  </si>
  <si>
    <t xml:space="preserve">2  10  24  3  25</t>
  </si>
  <si>
    <t xml:space="preserve">4  3  31  35  30</t>
  </si>
  <si>
    <t xml:space="preserve">2  3  17  32  7</t>
  </si>
  <si>
    <t xml:space="preserve">10  28  9  23  2  24  33  35</t>
  </si>
  <si>
    <t xml:space="preserve">25  13  24  15  19  26  28</t>
  </si>
  <si>
    <t xml:space="preserve">25  15  24  13  17  28  26</t>
  </si>
  <si>
    <t xml:space="preserve">2  10  39  18  32  16  5  26</t>
  </si>
  <si>
    <t xml:space="preserve">2  16  18  26  3  4  28</t>
  </si>
  <si>
    <t xml:space="preserve">28  25  37  10  26  7</t>
  </si>
  <si>
    <t xml:space="preserve">28  26  32  18  9  25</t>
  </si>
  <si>
    <t xml:space="preserve">28  32  18  9  3  25</t>
  </si>
  <si>
    <t xml:space="preserve">28  13  12  35  18  14  31</t>
  </si>
  <si>
    <t xml:space="preserve">28  12  35  10  13  26</t>
  </si>
  <si>
    <t xml:space="preserve">17  28  13  12  14  4  25</t>
  </si>
  <si>
    <t xml:space="preserve">17  28  13  4  12  6</t>
  </si>
  <si>
    <t xml:space="preserve">13  17  14  12  4  26  5</t>
  </si>
  <si>
    <t xml:space="preserve">13  26  17  4  12  5</t>
  </si>
  <si>
    <t xml:space="preserve">26  13  35  16  7  24</t>
  </si>
  <si>
    <t xml:space="preserve">26  13  35  31  16  24</t>
  </si>
  <si>
    <t xml:space="preserve">13  24  10  15  16  1  28</t>
  </si>
  <si>
    <t xml:space="preserve">26  31  35  13  3  23</t>
  </si>
  <si>
    <t xml:space="preserve">37  4  5  24  10</t>
  </si>
  <si>
    <t xml:space="preserve">19  9  16  6  13  10  37</t>
  </si>
  <si>
    <t xml:space="preserve">25  10  16  2  37  13  24</t>
  </si>
  <si>
    <t xml:space="preserve">10  28  25  19  3  37</t>
  </si>
  <si>
    <t xml:space="preserve">12  35  8  4  13  10  1</t>
  </si>
  <si>
    <t xml:space="preserve">1  13  30  2  35  4</t>
  </si>
  <si>
    <t xml:space="preserve">1  2  35  13  38</t>
  </si>
  <si>
    <t xml:space="preserve">2  12  26  28  8  6</t>
  </si>
  <si>
    <t xml:space="preserve">35  1  12  13  24  17  4</t>
  </si>
  <si>
    <t xml:space="preserve">13  35  9  1  17  7</t>
  </si>
  <si>
    <t xml:space="preserve">1  13  3  39  18  17  24</t>
  </si>
  <si>
    <t xml:space="preserve">2  19  26  35  22  36  34</t>
  </si>
  <si>
    <t xml:space="preserve">19  13  32  2  24</t>
  </si>
  <si>
    <t xml:space="preserve">17  3  2  28  19  29  15</t>
  </si>
  <si>
    <t xml:space="preserve">10  4  24  5  35  3  12  18</t>
  </si>
  <si>
    <t xml:space="preserve">15  28  35  24  29  31  2  5</t>
  </si>
  <si>
    <t xml:space="preserve">28  21  3  13  34  24</t>
  </si>
  <si>
    <t xml:space="preserve">5  3  28  33  35  24  25</t>
  </si>
  <si>
    <t xml:space="preserve">31  14  9  12  24  13  3</t>
  </si>
  <si>
    <t xml:space="preserve">1  24  23  35  21  13  3  4</t>
  </si>
  <si>
    <t xml:space="preserve">24  2  11  3  23  19  7</t>
  </si>
  <si>
    <t xml:space="preserve">28  1  29  10  12  4  14  35</t>
  </si>
  <si>
    <t xml:space="preserve">6  13  2  3  17  10</t>
  </si>
  <si>
    <t xml:space="preserve">5  25  21  10  23  17  3  12  1</t>
  </si>
  <si>
    <t xml:space="preserve">12  28  23  7  35  31</t>
  </si>
  <si>
    <t xml:space="preserve">13  35  4  2  28  37  17</t>
  </si>
  <si>
    <t xml:space="preserve">25  13  28  2  10  7</t>
  </si>
  <si>
    <t xml:space="preserve">31  30  16  39  24  40  5</t>
  </si>
  <si>
    <t xml:space="preserve">3  16  22  35  9  2</t>
  </si>
  <si>
    <t xml:space="preserve">2  25  1  23  33  13  24  29  3</t>
  </si>
  <si>
    <t xml:space="preserve">1  13  12  26  21  10</t>
  </si>
  <si>
    <t xml:space="preserve">25  28  26  3  17  12  18  4</t>
  </si>
  <si>
    <t xml:space="preserve">12  26  2  5  35  15  10</t>
  </si>
  <si>
    <t xml:space="preserve">15  24  28  10  13  4  17</t>
  </si>
  <si>
    <t xml:space="preserve">28  3  4  17  37</t>
  </si>
  <si>
    <t xml:space="preserve">25  17  1  27  28</t>
  </si>
  <si>
    <t xml:space="preserve">13  24  28  25  10  32</t>
  </si>
  <si>
    <t xml:space="preserve">35  24  8  13  2  37  30  31</t>
  </si>
  <si>
    <t xml:space="preserve">35  13  28  1  8  3  15</t>
  </si>
  <si>
    <t xml:space="preserve">17  4  18  35  28  14  38</t>
  </si>
  <si>
    <t xml:space="preserve">14  7  17  19  3  1  35  30</t>
  </si>
  <si>
    <t xml:space="preserve">35  1  10  31  26  17  34  16</t>
  </si>
  <si>
    <t xml:space="preserve">10  7  35  17  3  4  30</t>
  </si>
  <si>
    <t xml:space="preserve">3  12  10  2  6  34  19  24</t>
  </si>
  <si>
    <t xml:space="preserve">35  10  1  2  13  5  37  24  3</t>
  </si>
  <si>
    <t xml:space="preserve">13  1  17  36  10  30  16</t>
  </si>
  <si>
    <t xml:space="preserve">35  3  2  25  9  19  13</t>
  </si>
  <si>
    <t xml:space="preserve">2  24  25  7  23  13  10</t>
  </si>
  <si>
    <t xml:space="preserve">10  3  5  18  2  35  13  17</t>
  </si>
  <si>
    <t xml:space="preserve">1  35  18  9  3  16  24  20  38</t>
  </si>
  <si>
    <t xml:space="preserve">35  3  24  5  4  12  13  19</t>
  </si>
  <si>
    <t xml:space="preserve">10  15  12  22  40  35  28  36</t>
  </si>
  <si>
    <t xml:space="preserve">19  5  35  38  9  13  3</t>
  </si>
  <si>
    <t xml:space="preserve">1  19  3  5  35  13  4</t>
  </si>
  <si>
    <t xml:space="preserve">10  35  28  38  19  15  24  5</t>
  </si>
  <si>
    <t xml:space="preserve">3  14  9  37  1  28  13</t>
  </si>
  <si>
    <t xml:space="preserve">3  35  5  10  40  28  29  18</t>
  </si>
  <si>
    <t xml:space="preserve">24  35  3  4  39  12  25</t>
  </si>
  <si>
    <t xml:space="preserve">35  28  21  36  10  3  40  31</t>
  </si>
  <si>
    <t xml:space="preserve">1  24  19  31  26  17  32</t>
  </si>
  <si>
    <t xml:space="preserve">2  13  10  3  29  28  24</t>
  </si>
  <si>
    <t xml:space="preserve">35  12  2  34  14  3  24  9  5</t>
  </si>
  <si>
    <t xml:space="preserve">10  3  6  24  34  1  7</t>
  </si>
  <si>
    <t xml:space="preserve">28  35  15  14  9  5  19  24</t>
  </si>
  <si>
    <t xml:space="preserve">10  2  3  24  25  13  4  37</t>
  </si>
  <si>
    <t xml:space="preserve">9  14  1  2  31  4  17</t>
  </si>
  <si>
    <t xml:space="preserve">35  25  13  2  34  21</t>
  </si>
  <si>
    <t xml:space="preserve">24  39  13  35  3  40  5  17  18</t>
  </si>
  <si>
    <t xml:space="preserve">28  15  29  35  1  10  17  40  36</t>
  </si>
  <si>
    <t xml:space="preserve">10  2  13  28  24  1</t>
  </si>
  <si>
    <t xml:space="preserve">28  7  26  24  10  1  35  25  15</t>
  </si>
  <si>
    <t xml:space="preserve">3  1  35  10  14  24  39  9</t>
  </si>
  <si>
    <t xml:space="preserve">1  25  9  2  13  17  32</t>
  </si>
  <si>
    <t xml:space="preserve">10  24  1  28  7</t>
  </si>
  <si>
    <t xml:space="preserve">10  39  1  18  31  24</t>
  </si>
  <si>
    <t xml:space="preserve">2  13  22  1  17  7</t>
  </si>
  <si>
    <t xml:space="preserve">35  13  24  33  40  2  11  14</t>
  </si>
  <si>
    <t xml:space="preserve">1  10  24  35  28  6  19</t>
  </si>
  <si>
    <t xml:space="preserve">3  32  26  18  1  25  35</t>
  </si>
  <si>
    <t xml:space="preserve">10  5  12  26  35  4  13</t>
  </si>
  <si>
    <t xml:space="preserve">6  12  10  1  28  27  17  31</t>
  </si>
  <si>
    <t xml:space="preserve">25  1  19  7  24  16</t>
  </si>
  <si>
    <t xml:space="preserve">4  32  37  25  28  18  35  24  13</t>
  </si>
  <si>
    <t xml:space="preserve">1  28  19  37  4  13  24  3</t>
  </si>
  <si>
    <t xml:space="preserve">35  40  30  9  5  34  26  31  2</t>
  </si>
  <si>
    <t xml:space="preserve">35  2  9  5  26  31  40  39</t>
  </si>
  <si>
    <t xml:space="preserve">1  19  26  13  2  24  4</t>
  </si>
  <si>
    <t xml:space="preserve">9  26  28  13  2  35  24  4</t>
  </si>
  <si>
    <t xml:space="preserve">14  1  28  13  2  35  16  17  4</t>
  </si>
  <si>
    <t xml:space="preserve">19  6  17  2  13  35  14  36</t>
  </si>
  <si>
    <t xml:space="preserve">35  26  34  30  5  40  6  13</t>
  </si>
  <si>
    <t xml:space="preserve">2  13  35  1  28  5</t>
  </si>
  <si>
    <t xml:space="preserve">29  13  2  28  15  30  1</t>
  </si>
  <si>
    <t xml:space="preserve">2  10  13  3  35  31  24</t>
  </si>
  <si>
    <t xml:space="preserve">25  7  24  13  32  3  2  37</t>
  </si>
  <si>
    <t xml:space="preserve">10  28  15  4  12  9  13  29</t>
  </si>
  <si>
    <t xml:space="preserve">35  10  13  6  4</t>
  </si>
  <si>
    <t xml:space="preserve">28  10  13  34  18  19  4</t>
  </si>
  <si>
    <t xml:space="preserve">3  9  29  17  26  2  16</t>
  </si>
  <si>
    <t xml:space="preserve">28  5  2  29  35  10  13  27</t>
  </si>
  <si>
    <t xml:space="preserve">28  10  5  13  35  2</t>
  </si>
  <si>
    <t xml:space="preserve">19  28  2  30  35  20  34</t>
  </si>
  <si>
    <t xml:space="preserve">19  35  4  9  2  40  1</t>
  </si>
  <si>
    <t xml:space="preserve">40  28  13  2  9  35  29</t>
  </si>
  <si>
    <t xml:space="preserve">24  2  9  25  5  16  39  36  19</t>
  </si>
  <si>
    <t xml:space="preserve">24  13  36  2  17  35  28  9</t>
  </si>
  <si>
    <t xml:space="preserve">35  24  13  17  14  4  28  9</t>
  </si>
  <si>
    <t xml:space="preserve">10  28  2  13  9  35  3  12</t>
  </si>
  <si>
    <t xml:space="preserve">35  28  10  13  9  29  2  24</t>
  </si>
  <si>
    <t xml:space="preserve">3  25  6  29  24  38</t>
  </si>
  <si>
    <t xml:space="preserve">35  28  13  10  2  24  38  34</t>
  </si>
  <si>
    <t xml:space="preserve">25  7  6  24  19  32  1</t>
  </si>
  <si>
    <t xml:space="preserve">24  9  2  13  3  6  25</t>
  </si>
  <si>
    <t xml:space="preserve">5  24  15  2  21  13  35</t>
  </si>
  <si>
    <t xml:space="preserve">1  12  19  35  36  21  29  22</t>
  </si>
  <si>
    <t xml:space="preserve">29  28  1  24  15  25  37</t>
  </si>
  <si>
    <t xml:space="preserve">6  28  13  35  4  24  32</t>
  </si>
  <si>
    <t xml:space="preserve">26  24  6  25  9  28</t>
  </si>
  <si>
    <t xml:space="preserve">35  1  13  40  2  33  6</t>
  </si>
  <si>
    <t xml:space="preserve">3  13  28  1  27  2</t>
  </si>
  <si>
    <t xml:space="preserve">28  5  24  10  19  13</t>
  </si>
  <si>
    <t xml:space="preserve">24  10  26  35  4  13  14</t>
  </si>
  <si>
    <t xml:space="preserve">5  32  35  22  24  33  3</t>
  </si>
  <si>
    <t xml:space="preserve">40  19  15  39  2  7  29  4  36</t>
  </si>
  <si>
    <t xml:space="preserve">3  13  1  28  26  35  10  6</t>
  </si>
  <si>
    <t xml:space="preserve">2  24  13  3  35  26  32</t>
  </si>
  <si>
    <t xml:space="preserve">28  3  1  24  10  13  17</t>
  </si>
  <si>
    <t xml:space="preserve">26  12  29  8  17  1</t>
  </si>
  <si>
    <t xml:space="preserve">3  37  25  26  7  28</t>
  </si>
  <si>
    <t xml:space="preserve">28  10  32  37  15  24</t>
  </si>
  <si>
    <t xml:space="preserve">28  26  10  2  34  7  37</t>
  </si>
  <si>
    <t xml:space="preserve">10  1  6  20  31  35  7</t>
  </si>
  <si>
    <t xml:space="preserve">10  1  13  6  35  7</t>
  </si>
  <si>
    <t xml:space="preserve">35  17  14  10  4  28  12  1</t>
  </si>
  <si>
    <t xml:space="preserve">28  10  25  20  17  13  1  5</t>
  </si>
  <si>
    <t xml:space="preserve">10  13  37  5  28  35  31  25</t>
  </si>
  <si>
    <t xml:space="preserve">10  28  2  13  17  37  25  4</t>
  </si>
  <si>
    <t xml:space="preserve">28  37  10  25  19  3  5  1</t>
  </si>
  <si>
    <t xml:space="preserve">28  1  10  3  5  2  13  25</t>
  </si>
  <si>
    <t xml:space="preserve">5  25  28  10  13  29  37  1</t>
  </si>
  <si>
    <t xml:space="preserve">10  25  7  6  35  37  3  19</t>
  </si>
  <si>
    <t xml:space="preserve">25  10  37  7  3  6  13  4</t>
  </si>
  <si>
    <t xml:space="preserve">3  10  37  2  5  6  7  12  4</t>
  </si>
  <si>
    <t xml:space="preserve">10  25  2  13  37  28  24  7</t>
  </si>
  <si>
    <t xml:space="preserve">25  28  7  10  4  37  5  24  19</t>
  </si>
  <si>
    <t xml:space="preserve">10  35  37  23  25  26  7  24  4</t>
  </si>
  <si>
    <t xml:space="preserve">35  25  10  7  19  5  1</t>
  </si>
  <si>
    <t xml:space="preserve">35  37  1  10  7  5</t>
  </si>
  <si>
    <t xml:space="preserve">24  37  10  5  25  35  28  1  4</t>
  </si>
  <si>
    <t xml:space="preserve">3  40  10  35  2  25  5</t>
  </si>
  <si>
    <t xml:space="preserve">3  10  35  5  24  28  2  17</t>
  </si>
  <si>
    <t xml:space="preserve">25  9  2  13  24  28  5  1</t>
  </si>
  <si>
    <t xml:space="preserve">35  19  2  36  10  13  28  3</t>
  </si>
  <si>
    <t xml:space="preserve">25  35  2  13  5  24  39  3  4</t>
  </si>
  <si>
    <t xml:space="preserve">10  2  23  35  13  1  4  7  24</t>
  </si>
  <si>
    <t xml:space="preserve">35  15  30  13  2  29  34  4</t>
  </si>
  <si>
    <t xml:space="preserve">15  3  13  7  2  4  19  10  25</t>
  </si>
  <si>
    <t xml:space="preserve">35  15  13  3  19  2  4  25</t>
  </si>
  <si>
    <t xml:space="preserve">25  10  7  3  4  26  24  1  32</t>
  </si>
  <si>
    <t xml:space="preserve">10  3  7  15  25  9  2  4  26</t>
  </si>
  <si>
    <t xml:space="preserve">10  15  1  5  13  39  4  24  38</t>
  </si>
  <si>
    <t xml:space="preserve">19  12  16  22  9  28  37  34  27</t>
  </si>
  <si>
    <t xml:space="preserve">1  7  28  25  26  22  35  10</t>
  </si>
  <si>
    <t xml:space="preserve">6  10  13  1   2  24</t>
  </si>
  <si>
    <t xml:space="preserve">2  10  24  25  7  22  1  13</t>
  </si>
  <si>
    <t xml:space="preserve">23  3  13  1  2  10  35</t>
  </si>
  <si>
    <t xml:space="preserve">13  25  1  7  10  24  28  35</t>
  </si>
  <si>
    <t xml:space="preserve">24  2  13  10  7  4  26  5</t>
  </si>
  <si>
    <t xml:space="preserve">10  25  11  39  2  7  24  37  35</t>
  </si>
  <si>
    <t xml:space="preserve">7  10  37  5  13  2  25</t>
  </si>
  <si>
    <t xml:space="preserve">1  19  27  9  12  37  5  2  39</t>
  </si>
  <si>
    <t xml:space="preserve">13  2  35  10  28  21</t>
  </si>
  <si>
    <t xml:space="preserve">25  2  24  13  10  39</t>
  </si>
  <si>
    <t xml:space="preserve">1  28  25  10  21  34</t>
  </si>
  <si>
    <t xml:space="preserve">35  1  10  21  28  15  13  25</t>
  </si>
  <si>
    <t xml:space="preserve">28  15  37  7  2  13  35  29</t>
  </si>
  <si>
    <t xml:space="preserve">13  37  10  7  3  28  32  25</t>
  </si>
  <si>
    <t xml:space="preserve">10  26  2  37  7  28  3  4  32</t>
  </si>
  <si>
    <t xml:space="preserve">28  26  13  5  3  8  35  24</t>
  </si>
  <si>
    <t xml:space="preserve">28  26  1  13  3  35  6  24</t>
  </si>
  <si>
    <t xml:space="preserve">26  24  28  5  17  3  37  16  13</t>
  </si>
  <si>
    <t xml:space="preserve">28  26  10  24  32  2  39</t>
  </si>
  <si>
    <t xml:space="preserve">26  28  13  2  17  32  24  18</t>
  </si>
  <si>
    <t xml:space="preserve">26  28  2  17  39  32  24  13  9</t>
  </si>
  <si>
    <t xml:space="preserve">28  24  18  1  32  4  13  25  26</t>
  </si>
  <si>
    <t xml:space="preserve">28  26  2  24  13  31  32  4</t>
  </si>
  <si>
    <t xml:space="preserve">13  28  3  1  17  26  39  24  4</t>
  </si>
  <si>
    <t xml:space="preserve">3  28  18  27  24  13  29  4  32</t>
  </si>
  <si>
    <t xml:space="preserve">19  3  32  7  10  13  25  4</t>
  </si>
  <si>
    <t xml:space="preserve">19  26  2  13  4  25  39  32</t>
  </si>
  <si>
    <t xml:space="preserve">26  2  35  25  3  6  13  24  34</t>
  </si>
  <si>
    <t xml:space="preserve">3  28  1  24  37  25  4  16  35</t>
  </si>
  <si>
    <t xml:space="preserve">28  15  19  37  3  24  40  30</t>
  </si>
  <si>
    <t xml:space="preserve">2  35  38  37  24  31  19  4  28</t>
  </si>
  <si>
    <t xml:space="preserve">35  19  2  24  28  13  16  4</t>
  </si>
  <si>
    <t xml:space="preserve">19  1  35  24  28  16  18  10  3</t>
  </si>
  <si>
    <t xml:space="preserve">35  37  24  1  32  10  3  36  30</t>
  </si>
  <si>
    <t xml:space="preserve">28  3  24  27  15  32  37  1</t>
  </si>
  <si>
    <t xml:space="preserve">28  39  2  10  30  24  35  22</t>
  </si>
  <si>
    <t xml:space="preserve">35  3  28  32  24  13  2  16</t>
  </si>
  <si>
    <t xml:space="preserve">28  26  24  2  13  3  5</t>
  </si>
  <si>
    <t xml:space="preserve">35  10  24  13  1  6  28  37</t>
  </si>
  <si>
    <t xml:space="preserve">1  10  24  18  37  28  26  31</t>
  </si>
  <si>
    <t xml:space="preserve">28  9  18  32  37  26  13</t>
  </si>
  <si>
    <t xml:space="preserve">35  3  19  15  13  37  28  2</t>
  </si>
  <si>
    <t xml:space="preserve">7  26  35  24  2  22  5  33</t>
  </si>
  <si>
    <t xml:space="preserve">3  25  23  9  4  37  18</t>
  </si>
  <si>
    <t xml:space="preserve">28  2  25  37  13  35  7  24</t>
  </si>
  <si>
    <t xml:space="preserve">2  10  34  21  38  6  12  37  7</t>
  </si>
  <si>
    <t xml:space="preserve">1  26  13  15  35  19</t>
  </si>
  <si>
    <t xml:space="preserve">25  1  13  15  35  28</t>
  </si>
  <si>
    <t xml:space="preserve">2  5  13  25  15  35  7</t>
  </si>
  <si>
    <t xml:space="preserve">28  1  40  26  35  2  8  10</t>
  </si>
  <si>
    <t xml:space="preserve">26  2  5  12  10  27  1</t>
  </si>
  <si>
    <t xml:space="preserve">1  10  3  32  23  13</t>
  </si>
  <si>
    <t xml:space="preserve">24  2  10  26  9  12  13</t>
  </si>
  <si>
    <t xml:space="preserve">2  28  26  24  13  7  31  3</t>
  </si>
  <si>
    <t xml:space="preserve">19  28  22  3  30  29  24  9</t>
  </si>
  <si>
    <t xml:space="preserve">5  28  37  11  2  13  29  24</t>
  </si>
  <si>
    <t xml:space="preserve">28  10  25  2  5  13</t>
  </si>
  <si>
    <t xml:space="preserve">10  2  28  25  5  26  37  1  21</t>
  </si>
  <si>
    <t xml:space="preserve">2  28  10  35  25  5  18  26  37</t>
  </si>
  <si>
    <t xml:space="preserve">28  37  10  15  3  24  25  32</t>
  </si>
  <si>
    <t xml:space="preserve">28  32  37  3  7  10  6  24</t>
  </si>
  <si>
    <t xml:space="preserve">28  26  32  24  3  13  37  10  18</t>
  </si>
  <si>
    <t xml:space="preserve">35  26  32  1  12  8  25</t>
  </si>
  <si>
    <t xml:space="preserve">26  25  1  35  8  12  10</t>
  </si>
  <si>
    <t xml:space="preserve">5  26  28  1  10  24</t>
  </si>
  <si>
    <t xml:space="preserve">26  28  10  24  3  32</t>
  </si>
  <si>
    <t xml:space="preserve">26  24  5  3  28  35  10</t>
  </si>
  <si>
    <t xml:space="preserve">26  24  5  28  3  35  10</t>
  </si>
  <si>
    <t xml:space="preserve">5  24  28  13  26  10  3  1</t>
  </si>
  <si>
    <t xml:space="preserve">28  24  13  3  35  18</t>
  </si>
  <si>
    <t xml:space="preserve">28  3  10  13  24  1  37</t>
  </si>
  <si>
    <t xml:space="preserve">2  13  1  37  6  24</t>
  </si>
  <si>
    <t xml:space="preserve">25  2  7  32  4  3  37  10</t>
  </si>
  <si>
    <t xml:space="preserve">10  28  6  5  34  26  24  27</t>
  </si>
  <si>
    <t xml:space="preserve">10  26  28  24  5  34  27</t>
  </si>
  <si>
    <t xml:space="preserve">28  13  24  5  32  35  37</t>
  </si>
  <si>
    <t xml:space="preserve">24  28  37  2  32  35  1  9</t>
  </si>
  <si>
    <t xml:space="preserve">24  10  3  28  6  37  19  35</t>
  </si>
  <si>
    <t xml:space="preserve">10  24  5  3  28  13  20</t>
  </si>
  <si>
    <t xml:space="preserve">3  5  10  24  13  28</t>
  </si>
  <si>
    <t xml:space="preserve">24  5  2  13  10  28  3  32</t>
  </si>
  <si>
    <t xml:space="preserve">28  24  2  6  10  5  3  32</t>
  </si>
  <si>
    <t xml:space="preserve">35  39  2  37  13  24  12  1</t>
  </si>
  <si>
    <t xml:space="preserve">28  24  6  19  2  10  32  3</t>
  </si>
  <si>
    <t xml:space="preserve">32  1  35  24  6  10  2  31</t>
  </si>
  <si>
    <t xml:space="preserve">28  10  2  6  7  24  25</t>
  </si>
  <si>
    <t xml:space="preserve">28  10  13  2  35  24  34  31  16</t>
  </si>
  <si>
    <t xml:space="preserve">24  28  2  10  6  32  37  26  34</t>
  </si>
  <si>
    <t xml:space="preserve">26  10  24  37  35  27  6  1</t>
  </si>
  <si>
    <t xml:space="preserve">24  7  25  37  1  6</t>
  </si>
  <si>
    <t xml:space="preserve">9  24  2  37  25  7  13</t>
  </si>
  <si>
    <t xml:space="preserve">35  2  24  9  7  13  39</t>
  </si>
  <si>
    <t xml:space="preserve">10  3  24  39  22  13  36  16  26</t>
  </si>
  <si>
    <t xml:space="preserve">35  2  10  13  24  6  1</t>
  </si>
  <si>
    <t xml:space="preserve">2  6  10  15  19  24</t>
  </si>
  <si>
    <t xml:space="preserve">25  13  1  15  6  24</t>
  </si>
  <si>
    <t xml:space="preserve">24  5  23  13  11  25  35  1</t>
  </si>
  <si>
    <t xml:space="preserve">28  24  13  32  1  2  11</t>
  </si>
  <si>
    <t xml:space="preserve">13  27  24  2  6  11</t>
  </si>
  <si>
    <t xml:space="preserve">12  24  9  23  13  10  28</t>
  </si>
  <si>
    <t xml:space="preserve">28  35  7  31  13  24</t>
  </si>
  <si>
    <t xml:space="preserve">28  24  26  22  2  13  35  39  29</t>
  </si>
  <si>
    <t xml:space="preserve">3  25  28  13  35  24  1</t>
  </si>
  <si>
    <t xml:space="preserve">28  26  24  23  25  1</t>
  </si>
  <si>
    <t xml:space="preserve">28  24  26  2  10  1  3  24</t>
  </si>
  <si>
    <t xml:space="preserve">28  26  10  3  13  24</t>
  </si>
  <si>
    <t xml:space="preserve">3  35  10  27  1  13  28  26</t>
  </si>
  <si>
    <t xml:space="preserve">3  25  10  7  13  1  23  19</t>
  </si>
  <si>
    <t xml:space="preserve">26  28  24  10  13  1</t>
  </si>
  <si>
    <t xml:space="preserve">Prinzip 1 - 1 - Zerlegen, Zerteilen</t>
  </si>
  <si>
    <t xml:space="preserve">Prinzip 1 - Zerlegen, Zerteilen</t>
  </si>
  <si>
    <t xml:space="preserve">Beschreibung</t>
  </si>
  <si>
    <t xml:space="preserve">Prinzipien</t>
  </si>
  <si>
    <t xml:space="preserve">Zählwert</t>
  </si>
  <si>
    <t xml:space="preserve">Prozent</t>
  </si>
  <si>
    <t xml:space="preserve">a-3, b-3</t>
  </si>
  <si>
    <t xml:space="preserve">a-3, b-2</t>
  </si>
  <si>
    <t xml:space="preserve">a-3, b-1</t>
  </si>
  <si>
    <t xml:space="preserve">a-3, b</t>
  </si>
  <si>
    <t xml:space="preserve">a-3, b+1</t>
  </si>
  <si>
    <t xml:space="preserve">a-3, b+2</t>
  </si>
  <si>
    <t xml:space="preserve">a-3, b+3</t>
  </si>
  <si>
    <t xml:space="preserve">a-2, b-3</t>
  </si>
  <si>
    <t xml:space="preserve">a-2, b-2</t>
  </si>
  <si>
    <t xml:space="preserve">a-2, b+2</t>
  </si>
  <si>
    <t xml:space="preserve">a-1, b-3</t>
  </si>
  <si>
    <t xml:space="preserve">a-1, b-1</t>
  </si>
  <si>
    <t xml:space="preserve">a-1, b+1</t>
  </si>
  <si>
    <t xml:space="preserve">a, b-3</t>
  </si>
  <si>
    <t xml:space="preserve">a, b</t>
  </si>
  <si>
    <t xml:space="preserve">a+1, b-3</t>
  </si>
  <si>
    <t xml:space="preserve">a+1, b-1</t>
  </si>
  <si>
    <t xml:space="preserve">a+1, b+1</t>
  </si>
  <si>
    <t xml:space="preserve">a+2, b-3</t>
  </si>
  <si>
    <t xml:space="preserve">a+2, b-2</t>
  </si>
  <si>
    <t xml:space="preserve">a+2, b+2</t>
  </si>
  <si>
    <t xml:space="preserve">a+3, b-3</t>
  </si>
  <si>
    <t xml:space="preserve">a+3, b-2</t>
  </si>
  <si>
    <t xml:space="preserve">a+3, b-1</t>
  </si>
  <si>
    <t xml:space="preserve">a+3, b</t>
  </si>
  <si>
    <t xml:space="preserve">a+3, b+1</t>
  </si>
  <si>
    <t xml:space="preserve">a+3, b+2</t>
  </si>
  <si>
    <t xml:space="preserve">a+3, b+3</t>
  </si>
  <si>
    <t xml:space="preserve">Ring1</t>
  </si>
  <si>
    <t xml:space="preserve">Ring2</t>
  </si>
  <si>
    <t xml:space="preserve">Ring3</t>
  </si>
  <si>
    <t xml:space="preserve">Ring4</t>
  </si>
  <si>
    <t xml:space="preserve">Ring5</t>
  </si>
  <si>
    <t xml:space="preserve">Ring6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</si>
</sst>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@"/>
    <numFmt numFmtId="167" formatCode="#,##0"/>
  </numFmts>
  <fonts count="3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Calibri"/>
      <family val="2"/>
      <charset val="1"/>
    </font>
    <font>
      <b val="true"/>
      <sz val="14"/>
      <name val="Calibri"/>
      <family val="2"/>
      <charset val="1"/>
    </font>
    <font>
      <b val="true"/>
      <sz val="12"/>
      <name val="Calibri"/>
      <family val="2"/>
      <charset val="1"/>
    </font>
    <font>
      <sz val="7"/>
      <name val="Calibri"/>
      <family val="2"/>
      <charset val="1"/>
    </font>
    <font>
      <sz val="6"/>
      <name val="Calibri"/>
      <family val="2"/>
      <charset val="1"/>
    </font>
    <font>
      <b val="true"/>
      <sz val="9"/>
      <color rgb="FFFFFF00"/>
      <name val="Arial"/>
      <family val="2"/>
      <charset val="1"/>
    </font>
    <font>
      <sz val="8"/>
      <color rgb="FFFFFFFF"/>
      <name val="Arial"/>
      <family val="2"/>
      <charset val="1"/>
    </font>
    <font>
      <b val="true"/>
      <i val="true"/>
      <sz val="18"/>
      <color rgb="FF333399"/>
      <name val="Calibri"/>
      <family val="2"/>
      <charset val="1"/>
    </font>
    <font>
      <b val="true"/>
      <i val="true"/>
      <sz val="12"/>
      <color rgb="FF333399"/>
      <name val="Calibri"/>
      <family val="2"/>
      <charset val="1"/>
    </font>
    <font>
      <sz val="10"/>
      <color rgb="FF969696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A6A6A6"/>
      <name val="Calibri"/>
      <family val="2"/>
      <charset val="1"/>
    </font>
    <font>
      <b val="true"/>
      <sz val="11"/>
      <name val="Calibri"/>
      <family val="2"/>
      <charset val="1"/>
    </font>
    <font>
      <sz val="9"/>
      <name val="Calibri"/>
      <family val="2"/>
      <charset val="1"/>
    </font>
    <font>
      <sz val="11"/>
      <color rgb="FF000000"/>
      <name val="Arial"/>
      <family val="0"/>
    </font>
    <font>
      <b val="true"/>
      <sz val="48"/>
      <color rgb="FFFFFFFF"/>
      <name val="Calibri"/>
      <family val="0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8"/>
      <color rgb="FF000000"/>
      <name val="Arial Black"/>
      <family val="0"/>
    </font>
    <font>
      <b val="true"/>
      <sz val="40"/>
      <color rgb="FFFFFFFF"/>
      <name val="Calibri"/>
      <family val="0"/>
    </font>
    <font>
      <b val="true"/>
      <sz val="16"/>
      <color rgb="FF000000"/>
      <name val="Arial Black"/>
      <family val="0"/>
    </font>
    <font>
      <sz val="10"/>
      <name val="Arial"/>
      <family val="2"/>
      <charset val="1"/>
    </font>
    <font>
      <sz val="9"/>
      <color rgb="FF000000"/>
      <name val="Segoe UI"/>
      <family val="2"/>
      <charset val="1"/>
    </font>
    <font>
      <sz val="14"/>
      <color rgb="FF000000"/>
      <name val="Calibri"/>
      <family val="0"/>
    </font>
    <font>
      <sz val="10"/>
      <color rgb="FF000000"/>
      <name val="Calibri"/>
      <family val="0"/>
    </font>
    <font>
      <b val="true"/>
      <sz val="12"/>
      <name val="Arial"/>
      <family val="2"/>
      <charset val="1"/>
    </font>
    <font>
      <sz val="8"/>
      <name val="Arial"/>
      <family val="2"/>
      <charset val="1"/>
    </font>
  </fonts>
  <fills count="223">
    <fill>
      <patternFill patternType="none"/>
    </fill>
    <fill>
      <patternFill patternType="gray125"/>
    </fill>
    <fill>
      <patternFill patternType="solid">
        <fgColor rgb="FF00FF00"/>
        <bgColor rgb="FF00FFFF"/>
      </patternFill>
    </fill>
    <fill>
      <patternFill patternType="solid">
        <fgColor rgb="FFC799FF"/>
        <bgColor rgb="FFFF99CC"/>
      </patternFill>
    </fill>
    <fill>
      <patternFill patternType="solid">
        <fgColor rgb="FFFFFF00"/>
        <bgColor rgb="FFBDC47D"/>
      </patternFill>
    </fill>
    <fill>
      <patternFill patternType="darkGray">
        <fgColor rgb="FFCCFFDC"/>
        <bgColor rgb="FFFFFFFF"/>
      </patternFill>
    </fill>
    <fill>
      <patternFill patternType="mediumGray">
        <fgColor rgb="FFBDC47D"/>
        <bgColor rgb="FFDCD9DA"/>
      </patternFill>
    </fill>
    <fill>
      <patternFill patternType="solid">
        <fgColor rgb="FFFF99CC"/>
        <bgColor rgb="FFFFA3A3"/>
      </patternFill>
    </fill>
    <fill>
      <patternFill patternType="solid">
        <fgColor rgb="FF7094BB"/>
        <bgColor rgb="FF18665E"/>
      </patternFill>
    </fill>
    <fill>
      <patternFill patternType="solid">
        <fgColor rgb="FFCCFFDC"/>
        <bgColor rgb="FFFFF9EC"/>
      </patternFill>
    </fill>
    <fill>
      <patternFill patternType="solid">
        <fgColor rgb="FFCD0000"/>
        <bgColor rgb="FFFF0000"/>
      </patternFill>
    </fill>
    <fill>
      <patternFill patternType="solid">
        <fgColor rgb="FFFFFFFF"/>
        <bgColor rgb="FFFFFCFC"/>
      </patternFill>
    </fill>
    <fill>
      <patternFill patternType="darkGray">
        <fgColor rgb="FFF97402"/>
        <bgColor rgb="FFFF5B5B"/>
      </patternFill>
    </fill>
    <fill>
      <patternFill patternType="darkGray">
        <fgColor rgb="FFDCD9DA"/>
        <bgColor rgb="FFCCFFDC"/>
      </patternFill>
    </fill>
    <fill>
      <patternFill patternType="solid">
        <fgColor rgb="FFFF0000"/>
        <bgColor rgb="FFFF0909"/>
      </patternFill>
    </fill>
    <fill>
      <patternFill patternType="darkGray">
        <fgColor rgb="FFFFF9EC"/>
        <bgColor rgb="FFFCEDEE"/>
      </patternFill>
    </fill>
    <fill>
      <patternFill patternType="solid">
        <fgColor rgb="FF0000FF"/>
        <bgColor rgb="FF000000"/>
      </patternFill>
    </fill>
    <fill>
      <patternFill patternType="solid">
        <fgColor rgb="FFDCD9DA"/>
        <bgColor rgb="FFFFD5D5"/>
      </patternFill>
    </fill>
    <fill>
      <patternFill patternType="solid">
        <fgColor rgb="FF000000"/>
        <bgColor rgb="FF880B11"/>
      </patternFill>
    </fill>
    <fill>
      <patternFill patternType="solid">
        <fgColor rgb="FFFF00FF"/>
        <bgColor rgb="FFFF2A2A"/>
      </patternFill>
    </fill>
    <fill>
      <patternFill patternType="solid">
        <fgColor rgb="FF00FFFF"/>
        <bgColor rgb="FF00FF00"/>
      </patternFill>
    </fill>
    <fill>
      <patternFill patternType="solid">
        <fgColor rgb="FF880B11"/>
        <bgColor rgb="FFCD0000"/>
      </patternFill>
    </fill>
    <fill>
      <patternFill patternType="solid">
        <fgColor rgb="FF18665E"/>
        <bgColor rgb="FF7094BB"/>
      </patternFill>
    </fill>
    <fill>
      <patternFill patternType="mediumGray">
        <fgColor rgb="FF0000FF"/>
        <bgColor rgb="FF000000"/>
      </patternFill>
    </fill>
    <fill>
      <patternFill patternType="mediumGray">
        <fgColor rgb="FF7094BB"/>
        <bgColor rgb="FFF97402"/>
      </patternFill>
    </fill>
    <fill>
      <patternFill patternType="solid">
        <fgColor rgb="FF7094BB"/>
        <bgColor rgb="FFC799FF"/>
      </patternFill>
    </fill>
    <fill>
      <patternFill patternType="mediumGray">
        <fgColor rgb="FFC799FF"/>
        <bgColor rgb="FF7094BB"/>
      </patternFill>
    </fill>
    <fill>
      <patternFill patternType="darkGray">
        <fgColor rgb="FF880B11"/>
        <bgColor rgb="FFFF3A3A"/>
      </patternFill>
    </fill>
    <fill>
      <patternFill patternType="solid">
        <fgColor rgb="FFFFF9EC"/>
        <bgColor rgb="FFFFF6F6"/>
      </patternFill>
    </fill>
    <fill>
      <patternFill patternType="darkGray">
        <fgColor rgb="FF880B11"/>
        <bgColor rgb="FF000000"/>
      </patternFill>
    </fill>
    <fill>
      <patternFill patternType="darkGray">
        <fgColor rgb="FFFF7F7F"/>
        <bgColor rgb="FFFF8585"/>
      </patternFill>
    </fill>
    <fill>
      <patternFill patternType="solid">
        <fgColor rgb="FFDCD9DA"/>
        <bgColor rgb="FFFFD5D5"/>
      </patternFill>
    </fill>
    <fill>
      <patternFill patternType="darkGray">
        <fgColor rgb="FF00FFFF"/>
        <bgColor rgb="FF7094BB"/>
      </patternFill>
    </fill>
    <fill>
      <patternFill patternType="solid">
        <fgColor rgb="FFFFF9EC"/>
        <bgColor rgb="FFFFE8E4"/>
      </patternFill>
    </fill>
    <fill>
      <patternFill patternType="mediumGray">
        <fgColor rgb="FFDCD9DA"/>
        <bgColor rgb="FFC799FF"/>
      </patternFill>
    </fill>
    <fill>
      <patternFill patternType="solid">
        <fgColor rgb="FFFFC3A9"/>
        <bgColor rgb="FFFFC5C5"/>
      </patternFill>
    </fill>
    <fill>
      <patternFill patternType="mediumGray">
        <fgColor rgb="FF7094BB"/>
        <bgColor rgb="FF18665E"/>
      </patternFill>
    </fill>
    <fill>
      <patternFill patternType="mediumGray">
        <fgColor rgb="FF00FFFF"/>
        <bgColor rgb="FF7094BB"/>
      </patternFill>
    </fill>
    <fill>
      <patternFill patternType="darkGray">
        <fgColor rgb="FFBDC47D"/>
        <bgColor rgb="FFFFFF00"/>
      </patternFill>
    </fill>
    <fill>
      <patternFill patternType="darkGray">
        <fgColor rgb="FFFFFF00"/>
        <bgColor rgb="FFBDC47D"/>
      </patternFill>
    </fill>
    <fill>
      <patternFill patternType="solid">
        <fgColor rgb="FFF97402"/>
        <bgColor rgb="FFFF7F7F"/>
      </patternFill>
    </fill>
    <fill>
      <patternFill patternType="darkGray">
        <fgColor rgb="FFF97402"/>
        <bgColor rgb="FFFF5555"/>
      </patternFill>
    </fill>
    <fill>
      <patternFill patternType="darkGray">
        <fgColor rgb="FF7094BB"/>
        <bgColor rgb="FFBDC47D"/>
      </patternFill>
    </fill>
    <fill>
      <patternFill patternType="mediumGray">
        <fgColor rgb="FF18665E"/>
        <bgColor rgb="FF000000"/>
      </patternFill>
    </fill>
    <fill>
      <patternFill patternType="mediumGray">
        <fgColor rgb="FF18665E"/>
        <bgColor rgb="FF7094BB"/>
      </patternFill>
    </fill>
    <fill>
      <patternFill patternType="mediumGray">
        <fgColor rgb="FF000000"/>
        <bgColor rgb="FF18665E"/>
      </patternFill>
    </fill>
    <fill>
      <patternFill patternType="mediumGray">
        <fgColor rgb="FF18665E"/>
        <bgColor rgb="FF0000FF"/>
      </patternFill>
    </fill>
    <fill>
      <patternFill patternType="solid">
        <fgColor rgb="FFFF0000"/>
        <bgColor rgb="FFFF0909"/>
      </patternFill>
    </fill>
    <fill>
      <patternFill patternType="darkGray">
        <fgColor rgb="FFFF0000"/>
        <bgColor rgb="FFFF0909"/>
      </patternFill>
    </fill>
    <fill>
      <patternFill patternType="mediumGray">
        <fgColor rgb="FFFF0000"/>
        <bgColor rgb="FFFF0909"/>
      </patternFill>
    </fill>
    <fill>
      <patternFill patternType="darkGray">
        <fgColor rgb="FFFF0909"/>
        <bgColor rgb="FFFF0000"/>
      </patternFill>
    </fill>
    <fill>
      <patternFill patternType="solid">
        <fgColor rgb="FFFF0909"/>
        <bgColor rgb="FFFF0000"/>
      </patternFill>
    </fill>
    <fill>
      <patternFill patternType="solid">
        <fgColor rgb="FFFF0909"/>
        <bgColor rgb="FFFF1111"/>
      </patternFill>
    </fill>
    <fill>
      <patternFill patternType="darkGray">
        <fgColor rgb="FFFF0909"/>
        <bgColor rgb="FFFF1111"/>
      </patternFill>
    </fill>
    <fill>
      <patternFill patternType="mediumGray">
        <fgColor rgb="FFFF1111"/>
        <bgColor rgb="FFFF0909"/>
      </patternFill>
    </fill>
    <fill>
      <patternFill patternType="darkGray">
        <fgColor rgb="FFFF1111"/>
        <bgColor rgb="FFFF0909"/>
      </patternFill>
    </fill>
    <fill>
      <patternFill patternType="solid">
        <fgColor rgb="FFFF1111"/>
        <bgColor rgb="FFFF0909"/>
      </patternFill>
    </fill>
    <fill>
      <patternFill patternType="solid">
        <fgColor rgb="FFFF1111"/>
        <bgColor rgb="FFFF1A1A"/>
      </patternFill>
    </fill>
    <fill>
      <patternFill patternType="darkGray">
        <fgColor rgb="FFFF1111"/>
        <bgColor rgb="FFFF1A1A"/>
      </patternFill>
    </fill>
    <fill>
      <patternFill patternType="mediumGray">
        <fgColor rgb="FFFF1111"/>
        <bgColor rgb="FFFF1A1A"/>
      </patternFill>
    </fill>
    <fill>
      <patternFill patternType="darkGray">
        <fgColor rgb="FFFF1A1A"/>
        <bgColor rgb="FFFF1111"/>
      </patternFill>
    </fill>
    <fill>
      <patternFill patternType="solid">
        <fgColor rgb="FFFF1A1A"/>
        <bgColor rgb="FFFF1111"/>
      </patternFill>
    </fill>
    <fill>
      <patternFill patternType="solid">
        <fgColor rgb="FFFF1A1A"/>
        <bgColor rgb="FFFF2222"/>
      </patternFill>
    </fill>
    <fill>
      <patternFill patternType="darkGray">
        <fgColor rgb="FFFF1A1A"/>
        <bgColor rgb="FFFF2222"/>
      </patternFill>
    </fill>
    <fill>
      <patternFill patternType="mediumGray">
        <fgColor rgb="FFFF2222"/>
        <bgColor rgb="FFFF1A1A"/>
      </patternFill>
    </fill>
    <fill>
      <patternFill patternType="darkGray">
        <fgColor rgb="FFFF2222"/>
        <bgColor rgb="FFFF1A1A"/>
      </patternFill>
    </fill>
    <fill>
      <patternFill patternType="solid">
        <fgColor rgb="FFFF2222"/>
        <bgColor rgb="FFFF1A1A"/>
      </patternFill>
    </fill>
    <fill>
      <patternFill patternType="solid">
        <fgColor rgb="FFFF2222"/>
        <bgColor rgb="FFFF2A2A"/>
      </patternFill>
    </fill>
    <fill>
      <patternFill patternType="darkGray">
        <fgColor rgb="FFFF2222"/>
        <bgColor rgb="FFFF2A2A"/>
      </patternFill>
    </fill>
    <fill>
      <patternFill patternType="mediumGray">
        <fgColor rgb="FFFF2222"/>
        <bgColor rgb="FFFF2A2A"/>
      </patternFill>
    </fill>
    <fill>
      <patternFill patternType="darkGray">
        <fgColor rgb="FFFF2A2A"/>
        <bgColor rgb="FFFF2222"/>
      </patternFill>
    </fill>
    <fill>
      <patternFill patternType="solid">
        <fgColor rgb="FFFF2A2A"/>
        <bgColor rgb="FFFF2222"/>
      </patternFill>
    </fill>
    <fill>
      <patternFill patternType="solid">
        <fgColor rgb="FFFF2A2A"/>
        <bgColor rgb="FFFF3232"/>
      </patternFill>
    </fill>
    <fill>
      <patternFill patternType="darkGray">
        <fgColor rgb="FFFF2A2A"/>
        <bgColor rgb="FFFF3232"/>
      </patternFill>
    </fill>
    <fill>
      <patternFill patternType="mediumGray">
        <fgColor rgb="FFFF2A2A"/>
        <bgColor rgb="FFFF3232"/>
      </patternFill>
    </fill>
    <fill>
      <patternFill patternType="darkGray">
        <fgColor rgb="FFFF3232"/>
        <bgColor rgb="FFFF2A2A"/>
      </patternFill>
    </fill>
    <fill>
      <patternFill patternType="solid">
        <fgColor rgb="FFFF3232"/>
        <bgColor rgb="FFFF2A2A"/>
      </patternFill>
    </fill>
    <fill>
      <patternFill patternType="solid">
        <fgColor rgb="FFFF3232"/>
        <bgColor rgb="FFFF3A3A"/>
      </patternFill>
    </fill>
    <fill>
      <patternFill patternType="darkGray">
        <fgColor rgb="FFFF3232"/>
        <bgColor rgb="FFFF3A3A"/>
      </patternFill>
    </fill>
    <fill>
      <patternFill patternType="mediumGray">
        <fgColor rgb="FFFF3A3A"/>
        <bgColor rgb="FFFF3232"/>
      </patternFill>
    </fill>
    <fill>
      <patternFill patternType="darkGray">
        <fgColor rgb="FFFF3A3A"/>
        <bgColor rgb="FFFF3232"/>
      </patternFill>
    </fill>
    <fill>
      <patternFill patternType="solid">
        <fgColor rgb="FFFF3A3A"/>
        <bgColor rgb="FFFF3232"/>
      </patternFill>
    </fill>
    <fill>
      <patternFill patternType="solid">
        <fgColor rgb="FFFF3A3A"/>
        <bgColor rgb="FFFF4343"/>
      </patternFill>
    </fill>
    <fill>
      <patternFill patternType="darkGray">
        <fgColor rgb="FFFF3A3A"/>
        <bgColor rgb="FFFF4343"/>
      </patternFill>
    </fill>
    <fill>
      <patternFill patternType="mediumGray">
        <fgColor rgb="FFFF3A3A"/>
        <bgColor rgb="FFFF4343"/>
      </patternFill>
    </fill>
    <fill>
      <patternFill patternType="darkGray">
        <fgColor rgb="FFFF4343"/>
        <bgColor rgb="FFFF3A3A"/>
      </patternFill>
    </fill>
    <fill>
      <patternFill patternType="solid">
        <fgColor rgb="FFFF4343"/>
        <bgColor rgb="FFFF4949"/>
      </patternFill>
    </fill>
    <fill>
      <patternFill patternType="darkGray">
        <fgColor rgb="FFFF4343"/>
        <bgColor rgb="FFFF4949"/>
      </patternFill>
    </fill>
    <fill>
      <patternFill patternType="mediumGray">
        <fgColor rgb="FFFF4949"/>
        <bgColor rgb="FFFF4343"/>
      </patternFill>
    </fill>
    <fill>
      <patternFill patternType="darkGray">
        <fgColor rgb="FFFF4949"/>
        <bgColor rgb="FFFF4343"/>
      </patternFill>
    </fill>
    <fill>
      <patternFill patternType="solid">
        <fgColor rgb="FFFF4949"/>
        <bgColor rgb="FFFF4343"/>
      </patternFill>
    </fill>
    <fill>
      <patternFill patternType="darkGray">
        <fgColor rgb="FFFF4949"/>
        <bgColor rgb="FFFF4F4F"/>
      </patternFill>
    </fill>
    <fill>
      <patternFill patternType="mediumGray">
        <fgColor rgb="FFFF4949"/>
        <bgColor rgb="FFFF4F4F"/>
      </patternFill>
    </fill>
    <fill>
      <patternFill patternType="darkGray">
        <fgColor rgb="FFFF4F4F"/>
        <bgColor rgb="FFFF4949"/>
      </patternFill>
    </fill>
    <fill>
      <patternFill patternType="solid">
        <fgColor rgb="FFFF4F4F"/>
        <bgColor rgb="FFFF4949"/>
      </patternFill>
    </fill>
    <fill>
      <patternFill patternType="solid">
        <fgColor rgb="FFFF4F4F"/>
        <bgColor rgb="FFFF5555"/>
      </patternFill>
    </fill>
    <fill>
      <patternFill patternType="darkGray">
        <fgColor rgb="FFFF4F4F"/>
        <bgColor rgb="FFFF5555"/>
      </patternFill>
    </fill>
    <fill>
      <patternFill patternType="mediumGray">
        <fgColor rgb="FFFF5555"/>
        <bgColor rgb="FFFF4F4F"/>
      </patternFill>
    </fill>
    <fill>
      <patternFill patternType="darkGray">
        <fgColor rgb="FFFF5555"/>
        <bgColor rgb="FFFF4F4F"/>
      </patternFill>
    </fill>
    <fill>
      <patternFill patternType="solid">
        <fgColor rgb="FFFF5555"/>
        <bgColor rgb="FFFF4F4F"/>
      </patternFill>
    </fill>
    <fill>
      <patternFill patternType="solid">
        <fgColor rgb="FFFF5555"/>
        <bgColor rgb="FFFF5B5B"/>
      </patternFill>
    </fill>
    <fill>
      <patternFill patternType="darkGray">
        <fgColor rgb="FFFF5555"/>
        <bgColor rgb="FFFF5B5B"/>
      </patternFill>
    </fill>
    <fill>
      <patternFill patternType="mediumGray">
        <fgColor rgb="FFFF5555"/>
        <bgColor rgb="FFFF5B5B"/>
      </patternFill>
    </fill>
    <fill>
      <patternFill patternType="darkGray">
        <fgColor rgb="FFFF5B5B"/>
        <bgColor rgb="FFFF5555"/>
      </patternFill>
    </fill>
    <fill>
      <patternFill patternType="solid">
        <fgColor rgb="FFFF5B5B"/>
        <bgColor rgb="FFFF5555"/>
      </patternFill>
    </fill>
    <fill>
      <patternFill patternType="solid">
        <fgColor rgb="FFFF5B5B"/>
        <bgColor rgb="FFFF6161"/>
      </patternFill>
    </fill>
    <fill>
      <patternFill patternType="darkGray">
        <fgColor rgb="FFFF5B5B"/>
        <bgColor rgb="FFFF6161"/>
      </patternFill>
    </fill>
    <fill>
      <patternFill patternType="mediumGray">
        <fgColor rgb="FFFF6161"/>
        <bgColor rgb="FFFF5B5B"/>
      </patternFill>
    </fill>
    <fill>
      <patternFill patternType="darkGray">
        <fgColor rgb="FFFF6161"/>
        <bgColor rgb="FFFF5B5B"/>
      </patternFill>
    </fill>
    <fill>
      <patternFill patternType="solid">
        <fgColor rgb="FFFF6161"/>
        <bgColor rgb="FFFF5B5B"/>
      </patternFill>
    </fill>
    <fill>
      <patternFill patternType="solid">
        <fgColor rgb="FFFF6161"/>
        <bgColor rgb="FFFF6767"/>
      </patternFill>
    </fill>
    <fill>
      <patternFill patternType="darkGray">
        <fgColor rgb="FFFF6161"/>
        <bgColor rgb="FFFF6767"/>
      </patternFill>
    </fill>
    <fill>
      <patternFill patternType="mediumGray">
        <fgColor rgb="FFFF6161"/>
        <bgColor rgb="FFFF6767"/>
      </patternFill>
    </fill>
    <fill>
      <patternFill patternType="darkGray">
        <fgColor rgb="FFFF6767"/>
        <bgColor rgb="FFFF6161"/>
      </patternFill>
    </fill>
    <fill>
      <patternFill patternType="solid">
        <fgColor rgb="FFFF6767"/>
        <bgColor rgb="FFFF6161"/>
      </patternFill>
    </fill>
    <fill>
      <patternFill patternType="darkGray">
        <fgColor rgb="FFFF6767"/>
        <bgColor rgb="FFFF6D6D"/>
      </patternFill>
    </fill>
    <fill>
      <patternFill patternType="mediumGray">
        <fgColor rgb="FFFF6D6D"/>
        <bgColor rgb="FFFF6767"/>
      </patternFill>
    </fill>
    <fill>
      <patternFill patternType="darkGray">
        <fgColor rgb="FFFF6D6D"/>
        <bgColor rgb="FFFF6767"/>
      </patternFill>
    </fill>
    <fill>
      <patternFill patternType="solid">
        <fgColor rgb="FFFF6D6D"/>
        <bgColor rgb="FFFF6767"/>
      </patternFill>
    </fill>
    <fill>
      <patternFill patternType="darkGray">
        <fgColor rgb="FFFF6D6D"/>
        <bgColor rgb="FFFF7373"/>
      </patternFill>
    </fill>
    <fill>
      <patternFill patternType="mediumGray">
        <fgColor rgb="FFFF6D6D"/>
        <bgColor rgb="FFFF7373"/>
      </patternFill>
    </fill>
    <fill>
      <patternFill patternType="darkGray">
        <fgColor rgb="FFFF7373"/>
        <bgColor rgb="FFFF6D6D"/>
      </patternFill>
    </fill>
    <fill>
      <patternFill patternType="solid">
        <fgColor rgb="FFFF7373"/>
        <bgColor rgb="FFFF6D6D"/>
      </patternFill>
    </fill>
    <fill>
      <patternFill patternType="darkGray">
        <fgColor rgb="FFFF7373"/>
        <bgColor rgb="FFFF7979"/>
      </patternFill>
    </fill>
    <fill>
      <patternFill patternType="mediumGray">
        <fgColor rgb="FFFF7979"/>
        <bgColor rgb="FFFF7373"/>
      </patternFill>
    </fill>
    <fill>
      <patternFill patternType="darkGray">
        <fgColor rgb="FFFF7979"/>
        <bgColor rgb="FFFF7373"/>
      </patternFill>
    </fill>
    <fill>
      <patternFill patternType="solid">
        <fgColor rgb="FFFF7979"/>
        <bgColor rgb="FFFF7373"/>
      </patternFill>
    </fill>
    <fill>
      <patternFill patternType="solid">
        <fgColor rgb="FFFF7979"/>
        <bgColor rgb="FFFF7F7F"/>
      </patternFill>
    </fill>
    <fill>
      <patternFill patternType="darkGray">
        <fgColor rgb="FFFF7979"/>
        <bgColor rgb="FFFF7F7F"/>
      </patternFill>
    </fill>
    <fill>
      <patternFill patternType="mediumGray">
        <fgColor rgb="FFFF7979"/>
        <bgColor rgb="FFFF7F7F"/>
      </patternFill>
    </fill>
    <fill>
      <patternFill patternType="darkGray">
        <fgColor rgb="FFFF7F7F"/>
        <bgColor rgb="FFFF7979"/>
      </patternFill>
    </fill>
    <fill>
      <patternFill patternType="solid">
        <fgColor rgb="FFFF7F7F"/>
        <bgColor rgb="FFFF7979"/>
      </patternFill>
    </fill>
    <fill>
      <patternFill patternType="mediumGray">
        <fgColor rgb="FFFF7F7F"/>
        <bgColor rgb="FFFF8585"/>
      </patternFill>
    </fill>
    <fill>
      <patternFill patternType="darkGray">
        <fgColor rgb="FFFF8585"/>
        <bgColor rgb="FFFF7F7F"/>
      </patternFill>
    </fill>
    <fill>
      <patternFill patternType="solid">
        <fgColor rgb="FFFF8585"/>
        <bgColor rgb="FFFF7F7F"/>
      </patternFill>
    </fill>
    <fill>
      <patternFill patternType="darkGray">
        <fgColor rgb="FFFF8585"/>
        <bgColor rgb="FFFF8B8B"/>
      </patternFill>
    </fill>
    <fill>
      <patternFill patternType="mediumGray">
        <fgColor rgb="FFFF8B8B"/>
        <bgColor rgb="FFFF8585"/>
      </patternFill>
    </fill>
    <fill>
      <patternFill patternType="darkGray">
        <fgColor rgb="FFFF8B8B"/>
        <bgColor rgb="FFFF8585"/>
      </patternFill>
    </fill>
    <fill>
      <patternFill patternType="solid">
        <fgColor rgb="FFFF8B8B"/>
        <bgColor rgb="FFFF8585"/>
      </patternFill>
    </fill>
    <fill>
      <patternFill patternType="darkGray">
        <fgColor rgb="FFFF8B8B"/>
        <bgColor rgb="FFFF9191"/>
      </patternFill>
    </fill>
    <fill>
      <patternFill patternType="mediumGray">
        <fgColor rgb="FFFF8B8B"/>
        <bgColor rgb="FFFF9191"/>
      </patternFill>
    </fill>
    <fill>
      <patternFill patternType="darkGray">
        <fgColor rgb="FFFF9191"/>
        <bgColor rgb="FFFF8B8B"/>
      </patternFill>
    </fill>
    <fill>
      <patternFill patternType="solid">
        <fgColor rgb="FFFF9191"/>
        <bgColor rgb="FFFF8B8B"/>
      </patternFill>
    </fill>
    <fill>
      <patternFill patternType="solid">
        <fgColor rgb="FFFF9191"/>
        <bgColor rgb="FFFF9797"/>
      </patternFill>
    </fill>
    <fill>
      <patternFill patternType="darkGray">
        <fgColor rgb="FFFF9191"/>
        <bgColor rgb="FFFF9797"/>
      </patternFill>
    </fill>
    <fill>
      <patternFill patternType="mediumGray">
        <fgColor rgb="FFFF9797"/>
        <bgColor rgb="FFFF9191"/>
      </patternFill>
    </fill>
    <fill>
      <patternFill patternType="darkGray">
        <fgColor rgb="FFFF9797"/>
        <bgColor rgb="FFFF9191"/>
      </patternFill>
    </fill>
    <fill>
      <patternFill patternType="solid">
        <fgColor rgb="FFFF9797"/>
        <bgColor rgb="FFFF9191"/>
      </patternFill>
    </fill>
    <fill>
      <patternFill patternType="solid">
        <fgColor rgb="FFFF9797"/>
        <bgColor rgb="FFFF9D9D"/>
      </patternFill>
    </fill>
    <fill>
      <patternFill patternType="darkGray">
        <fgColor rgb="FFFF9797"/>
        <bgColor rgb="FFFF9D9D"/>
      </patternFill>
    </fill>
    <fill>
      <patternFill patternType="mediumGray">
        <fgColor rgb="FFFF9D9D"/>
        <bgColor rgb="FFFF9797"/>
      </patternFill>
    </fill>
    <fill>
      <patternFill patternType="darkGray">
        <fgColor rgb="FFFF9D9D"/>
        <bgColor rgb="FFFF9797"/>
      </patternFill>
    </fill>
    <fill>
      <patternFill patternType="solid">
        <fgColor rgb="FFFF9D9D"/>
        <bgColor rgb="FFFF9797"/>
      </patternFill>
    </fill>
    <fill>
      <patternFill patternType="solid">
        <fgColor rgb="FFFF9D9D"/>
        <bgColor rgb="FFFFA3A3"/>
      </patternFill>
    </fill>
    <fill>
      <patternFill patternType="darkGray">
        <fgColor rgb="FFFF9D9D"/>
        <bgColor rgb="FFFFA3A3"/>
      </patternFill>
    </fill>
    <fill>
      <patternFill patternType="mediumGray">
        <fgColor rgb="FFFF9D9D"/>
        <bgColor rgb="FFFFA3A3"/>
      </patternFill>
    </fill>
    <fill>
      <patternFill patternType="darkGray">
        <fgColor rgb="FFFFA3A3"/>
        <bgColor rgb="FFFF9D9D"/>
      </patternFill>
    </fill>
    <fill>
      <patternFill patternType="solid">
        <fgColor rgb="FFFFA3A3"/>
        <bgColor rgb="FFFF9D9D"/>
      </patternFill>
    </fill>
    <fill>
      <patternFill patternType="darkGray">
        <fgColor rgb="FFFFA3A3"/>
        <bgColor rgb="FFFFA9A9"/>
      </patternFill>
    </fill>
    <fill>
      <patternFill patternType="mediumGray">
        <fgColor rgb="FFFFA3A3"/>
        <bgColor rgb="FFFFA9A9"/>
      </patternFill>
    </fill>
    <fill>
      <patternFill patternType="darkGray">
        <fgColor rgb="FFFFA9A9"/>
        <bgColor rgb="FFFFA3A3"/>
      </patternFill>
    </fill>
    <fill>
      <patternFill patternType="solid">
        <fgColor rgb="FFFFA9A9"/>
        <bgColor rgb="FFFFA3A3"/>
      </patternFill>
    </fill>
    <fill>
      <patternFill patternType="darkGray">
        <fgColor rgb="FFFFA9A9"/>
        <bgColor rgb="FFFFB0B0"/>
      </patternFill>
    </fill>
    <fill>
      <patternFill patternType="mediumGray">
        <fgColor rgb="FFFFA9A9"/>
        <bgColor rgb="FFFFB0B0"/>
      </patternFill>
    </fill>
    <fill>
      <patternFill patternType="darkGray">
        <fgColor rgb="FFFFB0B0"/>
        <bgColor rgb="FFFFA9A9"/>
      </patternFill>
    </fill>
    <fill>
      <patternFill patternType="solid">
        <fgColor rgb="FFFFB0B0"/>
        <bgColor rgb="FFFFA9A9"/>
      </patternFill>
    </fill>
    <fill>
      <patternFill patternType="solid">
        <fgColor rgb="FFFFB0B0"/>
        <bgColor rgb="FFFFB9B9"/>
      </patternFill>
    </fill>
    <fill>
      <patternFill patternType="darkGray">
        <fgColor rgb="FFFFB0B0"/>
        <bgColor rgb="FFFFB9B9"/>
      </patternFill>
    </fill>
    <fill>
      <patternFill patternType="mediumGray">
        <fgColor rgb="FFFFB0B0"/>
        <bgColor rgb="FFFFB9B9"/>
      </patternFill>
    </fill>
    <fill>
      <patternFill patternType="darkGray">
        <fgColor rgb="FFFFB9B9"/>
        <bgColor rgb="FFFFB0B0"/>
      </patternFill>
    </fill>
    <fill>
      <patternFill patternType="solid">
        <fgColor rgb="FFFFB9B9"/>
        <bgColor rgb="FFFFB0B0"/>
      </patternFill>
    </fill>
    <fill>
      <patternFill patternType="darkGray">
        <fgColor rgb="FFFFB9B9"/>
        <bgColor rgb="FFFFC5C5"/>
      </patternFill>
    </fill>
    <fill>
      <patternFill patternType="mediumGray">
        <fgColor rgb="FFFFB9B9"/>
        <bgColor rgb="FFFFC5C5"/>
      </patternFill>
    </fill>
    <fill>
      <patternFill patternType="mediumGray">
        <fgColor rgb="FFFFC5C5"/>
        <bgColor rgb="FFFFB9B9"/>
      </patternFill>
    </fill>
    <fill>
      <patternFill patternType="darkGray">
        <fgColor rgb="FFFFC5C5"/>
        <bgColor rgb="FFFFB9B9"/>
      </patternFill>
    </fill>
    <fill>
      <patternFill patternType="solid">
        <fgColor rgb="FFFFC5C5"/>
        <bgColor rgb="FFFFCDCD"/>
      </patternFill>
    </fill>
    <fill>
      <patternFill patternType="darkGray">
        <fgColor rgb="FFFFC5C5"/>
        <bgColor rgb="FFFFCDCD"/>
      </patternFill>
    </fill>
    <fill>
      <patternFill patternType="mediumGray">
        <fgColor rgb="FFFFC5C5"/>
        <bgColor rgb="FFFFCDCD"/>
      </patternFill>
    </fill>
    <fill>
      <patternFill patternType="darkGray">
        <fgColor rgb="FFFFCDCD"/>
        <bgColor rgb="FFFFC5C5"/>
      </patternFill>
    </fill>
    <fill>
      <patternFill patternType="solid">
        <fgColor rgb="FFFFCDCD"/>
        <bgColor rgb="FFFFC5C5"/>
      </patternFill>
    </fill>
    <fill>
      <patternFill patternType="solid">
        <fgColor rgb="FFFFCDCD"/>
        <bgColor rgb="FFFFD5D5"/>
      </patternFill>
    </fill>
    <fill>
      <patternFill patternType="darkGray">
        <fgColor rgb="FFFFCDCD"/>
        <bgColor rgb="FFFFD5D5"/>
      </patternFill>
    </fill>
    <fill>
      <patternFill patternType="mediumGray">
        <fgColor rgb="FFFFD5D5"/>
        <bgColor rgb="FFFFCDCD"/>
      </patternFill>
    </fill>
    <fill>
      <patternFill patternType="darkGray">
        <fgColor rgb="FFFFD5D5"/>
        <bgColor rgb="FFFFCDCD"/>
      </patternFill>
    </fill>
    <fill>
      <patternFill patternType="solid">
        <fgColor rgb="FFFFD5D5"/>
        <bgColor rgb="FFFFDBDB"/>
      </patternFill>
    </fill>
    <fill>
      <patternFill patternType="darkGray">
        <fgColor rgb="FFFFD5D5"/>
        <bgColor rgb="FFFFDBDB"/>
      </patternFill>
    </fill>
    <fill>
      <patternFill patternType="mediumGray">
        <fgColor rgb="FFFFDBDB"/>
        <bgColor rgb="FFFFD5D5"/>
      </patternFill>
    </fill>
    <fill>
      <patternFill patternType="darkGray">
        <fgColor rgb="FFFFDBDB"/>
        <bgColor rgb="FFFFD5D5"/>
      </patternFill>
    </fill>
    <fill>
      <patternFill patternType="solid">
        <fgColor rgb="FFFFDBDB"/>
        <bgColor rgb="FFFFD5D5"/>
      </patternFill>
    </fill>
    <fill>
      <patternFill patternType="solid">
        <fgColor rgb="FFFFDBDB"/>
        <bgColor rgb="FFFFE0E0"/>
      </patternFill>
    </fill>
    <fill>
      <patternFill patternType="darkGray">
        <fgColor rgb="FFFFDBDB"/>
        <bgColor rgb="FFFFE0E0"/>
      </patternFill>
    </fill>
    <fill>
      <patternFill patternType="mediumGray">
        <fgColor rgb="FFFFDBDB"/>
        <bgColor rgb="FFFFE0E0"/>
      </patternFill>
    </fill>
    <fill>
      <patternFill patternType="darkGray">
        <fgColor rgb="FFFFE0E0"/>
        <bgColor rgb="FFFFDBDB"/>
      </patternFill>
    </fill>
    <fill>
      <patternFill patternType="solid">
        <fgColor rgb="FFFFE0E0"/>
        <bgColor rgb="FFFFDBDB"/>
      </patternFill>
    </fill>
    <fill>
      <patternFill patternType="darkGray">
        <fgColor rgb="FFFFE0E0"/>
        <bgColor rgb="FFFFE8E4"/>
      </patternFill>
    </fill>
    <fill>
      <patternFill patternType="mediumGray">
        <fgColor rgb="FFFFE0E0"/>
        <bgColor rgb="FFFFE8E4"/>
      </patternFill>
    </fill>
    <fill>
      <patternFill patternType="mediumGray">
        <fgColor rgb="FFFFE8E4"/>
        <bgColor rgb="FFFFE0E0"/>
      </patternFill>
    </fill>
    <fill>
      <patternFill patternType="darkGray">
        <fgColor rgb="FFFFE8E4"/>
        <bgColor rgb="FFFFE0E0"/>
      </patternFill>
    </fill>
    <fill>
      <patternFill patternType="solid">
        <fgColor rgb="FFFFE8E4"/>
        <bgColor rgb="FFFCEDEE"/>
      </patternFill>
    </fill>
    <fill>
      <patternFill patternType="darkGray">
        <fgColor rgb="FFFFE8E4"/>
        <bgColor rgb="FFFCEDEE"/>
      </patternFill>
    </fill>
    <fill>
      <patternFill patternType="mediumGray">
        <fgColor rgb="FFFFE8E4"/>
        <bgColor rgb="FFFCEDEE"/>
      </patternFill>
    </fill>
    <fill>
      <patternFill patternType="mediumGray">
        <fgColor rgb="FFFCEDEE"/>
        <bgColor rgb="FFFFE8E4"/>
      </patternFill>
    </fill>
    <fill>
      <patternFill patternType="darkGray">
        <fgColor rgb="FFFCEDEE"/>
        <bgColor rgb="FFFFE8E4"/>
      </patternFill>
    </fill>
    <fill>
      <patternFill patternType="solid">
        <fgColor rgb="FFFCEDEE"/>
        <bgColor rgb="FFFFE8E4"/>
      </patternFill>
    </fill>
    <fill>
      <patternFill patternType="darkGray">
        <fgColor rgb="FFFCEDEE"/>
        <bgColor rgb="FFFFF6F6"/>
      </patternFill>
    </fill>
    <fill>
      <patternFill patternType="mediumGray">
        <fgColor rgb="FFFCEDEE"/>
        <bgColor rgb="FFFFF6F6"/>
      </patternFill>
    </fill>
    <fill>
      <patternFill patternType="mediumGray">
        <fgColor rgb="FFFCEDEE"/>
        <bgColor rgb="FFFFF6F6"/>
      </patternFill>
    </fill>
    <fill>
      <patternFill patternType="darkGray">
        <fgColor rgb="FFFFF6F6"/>
        <bgColor rgb="FFFCEDEE"/>
      </patternFill>
    </fill>
    <fill>
      <patternFill patternType="darkGray">
        <fgColor rgb="FFFFF6F6"/>
        <bgColor rgb="FFFFF9EC"/>
      </patternFill>
    </fill>
    <fill>
      <patternFill patternType="solid">
        <fgColor rgb="FFFFF6F6"/>
        <bgColor rgb="FFFFF9EC"/>
      </patternFill>
    </fill>
    <fill>
      <patternFill patternType="darkGray">
        <fgColor rgb="FFFFF6F6"/>
        <bgColor rgb="FFFFFCFC"/>
      </patternFill>
    </fill>
    <fill>
      <patternFill patternType="mediumGray">
        <fgColor rgb="FFFFFCFC"/>
        <bgColor rgb="FFFFF6F6"/>
      </patternFill>
    </fill>
    <fill>
      <patternFill patternType="darkGray">
        <fgColor rgb="FFFFFCFC"/>
        <bgColor rgb="FFFFF6F6"/>
      </patternFill>
    </fill>
    <fill>
      <patternFill patternType="solid">
        <fgColor rgb="FFFFFCFC"/>
        <bgColor rgb="FFFFFFFF"/>
      </patternFill>
    </fill>
    <fill>
      <patternFill patternType="mediumGray">
        <fgColor rgb="FFFFFCFC"/>
        <bgColor rgb="FFFFFFFF"/>
      </patternFill>
    </fill>
    <fill>
      <patternFill patternType="darkGray">
        <fgColor rgb="FFFFFFFF"/>
        <bgColor rgb="FFFFFCFC"/>
      </patternFill>
    </fill>
    <fill>
      <patternFill patternType="mediumGray">
        <fgColor rgb="FF880B11"/>
        <bgColor rgb="FFFF3A3A"/>
      </patternFill>
    </fill>
    <fill>
      <patternFill patternType="solid">
        <fgColor rgb="FFFFC3A9"/>
        <bgColor rgb="FFFFB9B9"/>
      </patternFill>
    </fill>
    <fill>
      <patternFill patternType="solid">
        <fgColor rgb="FFFFE8E4"/>
        <bgColor rgb="FFFCEDEE"/>
      </patternFill>
    </fill>
    <fill>
      <patternFill patternType="mediumGray">
        <fgColor rgb="FFCCFFDC"/>
        <bgColor rgb="FFFCEDEE"/>
      </patternFill>
    </fill>
    <fill>
      <patternFill patternType="solid">
        <fgColor rgb="FFFCEDEE"/>
        <bgColor rgb="FFFFE8E4"/>
      </patternFill>
    </fill>
    <fill>
      <patternFill patternType="mediumGray">
        <fgColor rgb="FFDCD9DA"/>
        <bgColor rgb="FFFFE0E0"/>
      </patternFill>
    </fill>
    <fill>
      <patternFill patternType="darkGray">
        <fgColor rgb="FF18665E"/>
        <bgColor rgb="FF7094BB"/>
      </patternFill>
    </fill>
  </fills>
  <borders count="4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ck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5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5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7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9" borderId="5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0" borderId="5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10" borderId="5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4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0" borderId="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8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1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11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8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11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6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9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9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6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8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15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7" fillId="11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6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9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11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6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0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9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9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6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11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1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10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6" fillId="7" borderId="1" xfId="0" applyFont="true" applyBorder="true" applyAlignment="true" applyProtection="true">
      <alignment horizontal="right" vertical="center" textRotation="9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14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4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4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4" fillId="0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7" fillId="0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4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9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7" fillId="16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7" borderId="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14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7" fillId="0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0" borderId="3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9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0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0" borderId="3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14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16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8" fillId="9" borderId="3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7" fillId="9" borderId="3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5" fillId="2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3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1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2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3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3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3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3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3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17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4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4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4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4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5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6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7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8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9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0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2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3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3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4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5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6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7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8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9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1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20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0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0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0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0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21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2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1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1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17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1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19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2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22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2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1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1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80B11"/>
      <rgbColor rgb="FFFF6161"/>
      <rgbColor rgb="FFFF9D9D"/>
      <rgbColor rgb="FFFF6D6D"/>
      <rgbColor rgb="FFFF1111"/>
      <rgbColor rgb="FF18665E"/>
      <rgbColor rgb="FFBDC47D"/>
      <rgbColor rgb="FFFF7979"/>
      <rgbColor rgb="FFFFA3A3"/>
      <rgbColor rgb="FFFF3A3A"/>
      <rgbColor rgb="FFFFF9EC"/>
      <rgbColor rgb="FFFFFCFC"/>
      <rgbColor rgb="FFFF0909"/>
      <rgbColor rgb="FFFF7F7F"/>
      <rgbColor rgb="FFFF6767"/>
      <rgbColor rgb="FFDCD9DA"/>
      <rgbColor rgb="FFFFB9B9"/>
      <rgbColor rgb="FFFF2222"/>
      <rgbColor rgb="FFFFDBDB"/>
      <rgbColor rgb="FFFCEDEE"/>
      <rgbColor rgb="FFFF1A1A"/>
      <rgbColor rgb="FFCD0000"/>
      <rgbColor rgb="FFFF9797"/>
      <rgbColor rgb="FFFFC5C5"/>
      <rgbColor rgb="FFFFE0E0"/>
      <rgbColor rgb="FFFFF6F6"/>
      <rgbColor rgb="FFCCFFDC"/>
      <rgbColor rgb="FFFFE8E4"/>
      <rgbColor rgb="FFFFD5D5"/>
      <rgbColor rgb="FFFF99CC"/>
      <rgbColor rgb="FFC799FF"/>
      <rgbColor rgb="FFFFC3A9"/>
      <rgbColor rgb="FFFF8B8B"/>
      <rgbColor rgb="FFFFCDCD"/>
      <rgbColor rgb="FFFFB0B0"/>
      <rgbColor rgb="FFFFA9A9"/>
      <rgbColor rgb="FFFF8585"/>
      <rgbColor rgb="FFF97402"/>
      <rgbColor rgb="FFFF7373"/>
      <rgbColor rgb="FF7094BB"/>
      <rgbColor rgb="FFFF5555"/>
      <rgbColor rgb="FFFF9191"/>
      <rgbColor rgb="FFFF5B5B"/>
      <rgbColor rgb="FFFF4949"/>
      <rgbColor rgb="FFFF2A2A"/>
      <rgbColor rgb="FFFF4343"/>
      <rgbColor rgb="FFFF4F4F"/>
      <rgbColor rgb="FFFF323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Prinzipienauswertung</a:t>
            </a:r>
          </a:p>
        </c:rich>
      </c:tx>
      <c:overlay val="0"/>
      <c:spPr>
        <a:noFill/>
        <a:ln w="2556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DIAGRAMME!$B$1</c:f>
              <c:strCache>
                <c:ptCount val="1"/>
                <c:pt idx="0">
                  <c:v>Prinzipien</c:v>
                </c:pt>
              </c:strCache>
            </c:strRef>
          </c:tx>
          <c:spPr>
            <a:solidFill>
              <a:srgbClr val="4f81bd"/>
            </a:solidFill>
            <a:ln w="25560">
              <a:noFill/>
            </a:ln>
          </c:spPr>
          <c:invertIfNegative val="0"/>
          <c:dLbls>
            <c:numFmt formatCode="General" sourceLinked="1"/>
            <c:txPr>
              <a:bodyPr wrap="square"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DIAGRAMME!$D$2:$D$41</c:f>
              <c:numCache>
                <c:formatCode>General</c:formatCode>
                <c:ptCount val="40"/>
                <c:pt idx="0">
                  <c:v>10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</c:v>
                </c:pt>
                <c:pt idx="31">
                  <c:v>10</c:v>
                </c:pt>
                <c:pt idx="32">
                  <c:v>0</c:v>
                </c:pt>
                <c:pt idx="33">
                  <c:v>0</c:v>
                </c:pt>
                <c:pt idx="34">
                  <c:v>100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10</c:v>
                </c:pt>
              </c:numCache>
            </c:numRef>
          </c:val>
        </c:ser>
        <c:gapWidth val="100"/>
        <c:overlap val="-27"/>
        <c:axId val="17402998"/>
        <c:axId val="49368408"/>
      </c:barChart>
      <c:catAx>
        <c:axId val="1740299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1000" spc="-1" strike="noStrike">
                    <a:solidFill>
                      <a:srgbClr val="595959"/>
                    </a:solidFill>
                    <a:latin typeface="Calibri"/>
                  </a:rPr>
                  <a:t>Prinzipien</a:t>
                </a:r>
              </a:p>
            </c:rich>
          </c:tx>
          <c:overlay val="0"/>
          <c:spPr>
            <a:noFill/>
            <a:ln w="2556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9368408"/>
        <c:crosses val="autoZero"/>
        <c:auto val="1"/>
        <c:lblAlgn val="ctr"/>
        <c:lblOffset val="100"/>
        <c:noMultiLvlLbl val="0"/>
      </c:catAx>
      <c:valAx>
        <c:axId val="49368408"/>
        <c:scaling>
          <c:orientation val="minMax"/>
          <c:max val="10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1000" spc="-1" strike="noStrike">
                    <a:solidFill>
                      <a:srgbClr val="595959"/>
                    </a:solidFill>
                    <a:latin typeface="Calibri"/>
                  </a:rPr>
                  <a:t>Prozent</a:t>
                </a:r>
              </a:p>
            </c:rich>
          </c:tx>
          <c:overlay val="0"/>
          <c:spPr>
            <a:noFill/>
            <a:ln w="2556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402998"/>
        <c:crosses val="autoZero"/>
        <c:crossBetween val="between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7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1</xdr:row>
      <xdr:rowOff>19080</xdr:rowOff>
    </xdr:from>
    <xdr:to>
      <xdr:col>2</xdr:col>
      <xdr:colOff>990000</xdr:colOff>
      <xdr:row>4</xdr:row>
      <xdr:rowOff>161640</xdr:rowOff>
    </xdr:to>
    <xdr:sp>
      <xdr:nvSpPr>
        <xdr:cNvPr id="0" name="Rectangle 5"/>
        <xdr:cNvSpPr/>
      </xdr:nvSpPr>
      <xdr:spPr>
        <a:xfrm>
          <a:off x="9360" y="190440"/>
          <a:ext cx="1614960" cy="130464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110880</xdr:colOff>
      <xdr:row>1</xdr:row>
      <xdr:rowOff>104760</xdr:rowOff>
    </xdr:from>
    <xdr:to>
      <xdr:col>2</xdr:col>
      <xdr:colOff>898560</xdr:colOff>
      <xdr:row>2</xdr:row>
      <xdr:rowOff>99360</xdr:rowOff>
    </xdr:to>
    <xdr:sp>
      <xdr:nvSpPr>
        <xdr:cNvPr id="1" name="Rectangle 6"/>
        <xdr:cNvSpPr/>
      </xdr:nvSpPr>
      <xdr:spPr>
        <a:xfrm>
          <a:off x="110880" y="27612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335520</xdr:colOff>
      <xdr:row>2</xdr:row>
      <xdr:rowOff>104760</xdr:rowOff>
    </xdr:from>
    <xdr:to>
      <xdr:col>2</xdr:col>
      <xdr:colOff>866880</xdr:colOff>
      <xdr:row>3</xdr:row>
      <xdr:rowOff>90000</xdr:rowOff>
    </xdr:to>
    <xdr:sp>
      <xdr:nvSpPr>
        <xdr:cNvPr id="2" name="Rectangle 7"/>
        <xdr:cNvSpPr/>
      </xdr:nvSpPr>
      <xdr:spPr>
        <a:xfrm>
          <a:off x="335520" y="43812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110160</xdr:colOff>
      <xdr:row>3</xdr:row>
      <xdr:rowOff>619200</xdr:rowOff>
    </xdr:from>
    <xdr:to>
      <xdr:col>2</xdr:col>
      <xdr:colOff>680400</xdr:colOff>
      <xdr:row>3</xdr:row>
      <xdr:rowOff>775800</xdr:rowOff>
    </xdr:to>
    <xdr:sp>
      <xdr:nvSpPr>
        <xdr:cNvPr id="3" name="Rectangle 8"/>
        <xdr:cNvSpPr/>
      </xdr:nvSpPr>
      <xdr:spPr>
        <a:xfrm>
          <a:off x="110160" y="112392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109800</xdr:colOff>
      <xdr:row>4</xdr:row>
      <xdr:rowOff>0</xdr:rowOff>
    </xdr:from>
    <xdr:to>
      <xdr:col>2</xdr:col>
      <xdr:colOff>656640</xdr:colOff>
      <xdr:row>4</xdr:row>
      <xdr:rowOff>156600</xdr:rowOff>
    </xdr:to>
    <xdr:sp>
      <xdr:nvSpPr>
        <xdr:cNvPr id="4" name="Rectangle 9"/>
        <xdr:cNvSpPr/>
      </xdr:nvSpPr>
      <xdr:spPr>
        <a:xfrm>
          <a:off x="109800" y="133344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</xdr:col>
      <xdr:colOff>380880</xdr:colOff>
      <xdr:row>3</xdr:row>
      <xdr:rowOff>133200</xdr:rowOff>
    </xdr:from>
    <xdr:to>
      <xdr:col>2</xdr:col>
      <xdr:colOff>980640</xdr:colOff>
      <xdr:row>3</xdr:row>
      <xdr:rowOff>294840</xdr:rowOff>
    </xdr:to>
    <xdr:sp>
      <xdr:nvSpPr>
        <xdr:cNvPr id="5" name="Freeform 10"/>
        <xdr:cNvSpPr/>
      </xdr:nvSpPr>
      <xdr:spPr>
        <a:xfrm>
          <a:off x="1015200" y="637920"/>
          <a:ext cx="599760" cy="161640"/>
        </a:xfrm>
        <a:custGeom>
          <a:avLst/>
          <a:gdLst>
            <a:gd name="textAreaLeft" fmla="*/ 0 w 599760"/>
            <a:gd name="textAreaRight" fmla="*/ 600120 w 599760"/>
            <a:gd name="textAreaTop" fmla="*/ 0 h 161640"/>
            <a:gd name="textAreaBottom" fmla="*/ 162000 h 1616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2</xdr:col>
      <xdr:colOff>733320</xdr:colOff>
      <xdr:row>3</xdr:row>
      <xdr:rowOff>361800</xdr:rowOff>
    </xdr:from>
    <xdr:to>
      <xdr:col>2</xdr:col>
      <xdr:colOff>923400</xdr:colOff>
      <xdr:row>4</xdr:row>
      <xdr:rowOff>151920</xdr:rowOff>
    </xdr:to>
    <xdr:sp>
      <xdr:nvSpPr>
        <xdr:cNvPr id="6" name="Freeform 11"/>
        <xdr:cNvSpPr/>
      </xdr:nvSpPr>
      <xdr:spPr>
        <a:xfrm>
          <a:off x="1367640" y="866520"/>
          <a:ext cx="190080" cy="618840"/>
        </a:xfrm>
        <a:custGeom>
          <a:avLst/>
          <a:gdLst>
            <a:gd name="textAreaLeft" fmla="*/ 0 w 190080"/>
            <a:gd name="textAreaRight" fmla="*/ 190440 w 190080"/>
            <a:gd name="textAreaTop" fmla="*/ 0 h 618840"/>
            <a:gd name="textAreaBottom" fmla="*/ 619200 h 61884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53</xdr:col>
      <xdr:colOff>257400</xdr:colOff>
      <xdr:row>3</xdr:row>
      <xdr:rowOff>203040</xdr:rowOff>
    </xdr:from>
    <xdr:to>
      <xdr:col>53</xdr:col>
      <xdr:colOff>2072520</xdr:colOff>
      <xdr:row>7</xdr:row>
      <xdr:rowOff>19080</xdr:rowOff>
    </xdr:to>
    <xdr:sp>
      <xdr:nvSpPr>
        <xdr:cNvPr id="7" name="Text Box 39"/>
        <xdr:cNvSpPr/>
      </xdr:nvSpPr>
      <xdr:spPr>
        <a:xfrm>
          <a:off x="18473760" y="707760"/>
          <a:ext cx="1815120" cy="12733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spAutoFit/>
        </a:bodyPr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8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800" spc="-1" strike="noStrike">
            <a:latin typeface="Times New Roman"/>
          </a:endParaRPr>
        </a:p>
      </xdr:txBody>
    </xdr:sp>
    <xdr:clientData/>
  </xdr:twoCellAnchor>
  <xdr:twoCellAnchor editAs="oneCell">
    <xdr:from>
      <xdr:col>28</xdr:col>
      <xdr:colOff>295200</xdr:colOff>
      <xdr:row>5</xdr:row>
      <xdr:rowOff>47520</xdr:rowOff>
    </xdr:from>
    <xdr:to>
      <xdr:col>50</xdr:col>
      <xdr:colOff>266400</xdr:colOff>
      <xdr:row>23</xdr:row>
      <xdr:rowOff>56520</xdr:rowOff>
    </xdr:to>
    <xdr:graphicFrame>
      <xdr:nvGraphicFramePr>
        <xdr:cNvPr id="8" name="Diagramm 14"/>
        <xdr:cNvGraphicFramePr/>
      </xdr:nvGraphicFramePr>
      <xdr:xfrm>
        <a:off x="10289520" y="1552320"/>
        <a:ext cx="7277400" cy="412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3" descr="IP - ANALYZ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IP - ANALYZER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48</xdr:col>
      <xdr:colOff>19080</xdr:colOff>
      <xdr:row>48</xdr:row>
      <xdr:rowOff>0</xdr:rowOff>
    </xdr:from>
    <xdr:to>
      <xdr:col>51</xdr:col>
      <xdr:colOff>142560</xdr:colOff>
      <xdr:row>50</xdr:row>
      <xdr:rowOff>161640</xdr:rowOff>
    </xdr:to>
    <xdr:sp>
      <xdr:nvSpPr>
        <xdr:cNvPr id="9" name="Rectangle 5"/>
        <xdr:cNvSpPr/>
      </xdr:nvSpPr>
      <xdr:spPr>
        <a:xfrm>
          <a:off x="15960240" y="10972800"/>
          <a:ext cx="1653840" cy="132372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49</xdr:col>
      <xdr:colOff>36720</xdr:colOff>
      <xdr:row>48</xdr:row>
      <xdr:rowOff>32760</xdr:rowOff>
    </xdr:from>
    <xdr:to>
      <xdr:col>50</xdr:col>
      <xdr:colOff>163800</xdr:colOff>
      <xdr:row>48</xdr:row>
      <xdr:rowOff>189360</xdr:rowOff>
    </xdr:to>
    <xdr:sp>
      <xdr:nvSpPr>
        <xdr:cNvPr id="10" name="Rectangle 6"/>
        <xdr:cNvSpPr/>
      </xdr:nvSpPr>
      <xdr:spPr>
        <a:xfrm>
          <a:off x="16229160" y="1100556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246240</xdr:colOff>
      <xdr:row>48</xdr:row>
      <xdr:rowOff>197280</xdr:rowOff>
    </xdr:from>
    <xdr:to>
      <xdr:col>51</xdr:col>
      <xdr:colOff>148320</xdr:colOff>
      <xdr:row>49</xdr:row>
      <xdr:rowOff>125280</xdr:rowOff>
    </xdr:to>
    <xdr:sp>
      <xdr:nvSpPr>
        <xdr:cNvPr id="11" name="Rectangle 7"/>
        <xdr:cNvSpPr/>
      </xdr:nvSpPr>
      <xdr:spPr>
        <a:xfrm>
          <a:off x="16438680" y="1117008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112320</xdr:colOff>
      <xdr:row>49</xdr:row>
      <xdr:rowOff>677520</xdr:rowOff>
    </xdr:from>
    <xdr:to>
      <xdr:col>52</xdr:col>
      <xdr:colOff>54000</xdr:colOff>
      <xdr:row>49</xdr:row>
      <xdr:rowOff>834120</xdr:rowOff>
    </xdr:to>
    <xdr:sp>
      <xdr:nvSpPr>
        <xdr:cNvPr id="12" name="Rectangle 8"/>
        <xdr:cNvSpPr/>
      </xdr:nvSpPr>
      <xdr:spPr>
        <a:xfrm>
          <a:off x="16304760" y="1187892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111240</xdr:colOff>
      <xdr:row>49</xdr:row>
      <xdr:rowOff>889920</xdr:rowOff>
    </xdr:from>
    <xdr:to>
      <xdr:col>50</xdr:col>
      <xdr:colOff>199440</xdr:colOff>
      <xdr:row>50</xdr:row>
      <xdr:rowOff>113040</xdr:rowOff>
    </xdr:to>
    <xdr:sp>
      <xdr:nvSpPr>
        <xdr:cNvPr id="13" name="Rectangle 9"/>
        <xdr:cNvSpPr/>
      </xdr:nvSpPr>
      <xdr:spPr>
        <a:xfrm>
          <a:off x="16303680" y="1209132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47</xdr:col>
      <xdr:colOff>210240</xdr:colOff>
      <xdr:row>48</xdr:row>
      <xdr:rowOff>227160</xdr:rowOff>
    </xdr:from>
    <xdr:to>
      <xdr:col>49</xdr:col>
      <xdr:colOff>216720</xdr:colOff>
      <xdr:row>49</xdr:row>
      <xdr:rowOff>173160</xdr:rowOff>
    </xdr:to>
    <xdr:sp>
      <xdr:nvSpPr>
        <xdr:cNvPr id="14" name="Freeform 10"/>
        <xdr:cNvSpPr/>
      </xdr:nvSpPr>
      <xdr:spPr>
        <a:xfrm rot="16200000">
          <a:off x="16026840" y="10992240"/>
          <a:ext cx="174600" cy="590040"/>
        </a:xfrm>
        <a:custGeom>
          <a:avLst/>
          <a:gdLst>
            <a:gd name="textAreaLeft" fmla="*/ 0 w 174600"/>
            <a:gd name="textAreaRight" fmla="*/ 174960 w 174600"/>
            <a:gd name="textAreaTop" fmla="*/ 0 h 590040"/>
            <a:gd name="textAreaBottom" fmla="*/ 590400 h 5900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48</xdr:col>
      <xdr:colOff>19440</xdr:colOff>
      <xdr:row>49</xdr:row>
      <xdr:rowOff>504720</xdr:rowOff>
    </xdr:from>
    <xdr:to>
      <xdr:col>49</xdr:col>
      <xdr:colOff>409680</xdr:colOff>
      <xdr:row>49</xdr:row>
      <xdr:rowOff>694800</xdr:rowOff>
    </xdr:to>
    <xdr:sp>
      <xdr:nvSpPr>
        <xdr:cNvPr id="15" name="Freeform 11"/>
        <xdr:cNvSpPr/>
      </xdr:nvSpPr>
      <xdr:spPr>
        <a:xfrm rot="5400000">
          <a:off x="16186320" y="11480400"/>
          <a:ext cx="190080" cy="641520"/>
        </a:xfrm>
        <a:custGeom>
          <a:avLst/>
          <a:gdLst>
            <a:gd name="textAreaLeft" fmla="*/ 0 w 190080"/>
            <a:gd name="textAreaRight" fmla="*/ 190440 w 190080"/>
            <a:gd name="textAreaTop" fmla="*/ 0 h 641520"/>
            <a:gd name="textAreaBottom" fmla="*/ 641880 h 64152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54</xdr:col>
      <xdr:colOff>160920</xdr:colOff>
      <xdr:row>0</xdr:row>
      <xdr:rowOff>57240</xdr:rowOff>
    </xdr:from>
    <xdr:to>
      <xdr:col>54</xdr:col>
      <xdr:colOff>1988640</xdr:colOff>
      <xdr:row>5</xdr:row>
      <xdr:rowOff>180000</xdr:rowOff>
    </xdr:to>
    <xdr:sp>
      <xdr:nvSpPr>
        <xdr:cNvPr id="16" name="Text Box 39"/>
        <xdr:cNvSpPr/>
      </xdr:nvSpPr>
      <xdr:spPr>
        <a:xfrm>
          <a:off x="18417240" y="57240"/>
          <a:ext cx="1827720" cy="126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noAutofit/>
        </a:bodyPr>
        <a:p>
          <a:pPr algn="ctr">
            <a:lnSpc>
              <a:spcPct val="100000"/>
            </a:lnSpc>
          </a:pPr>
          <a:r>
            <a:rPr b="1" lang="de-DE" sz="40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0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0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HEATAnalyz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HEATAnalyzer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1</xdr:row>
      <xdr:rowOff>19080</xdr:rowOff>
    </xdr:from>
    <xdr:to>
      <xdr:col>2</xdr:col>
      <xdr:colOff>990000</xdr:colOff>
      <xdr:row>4</xdr:row>
      <xdr:rowOff>161640</xdr:rowOff>
    </xdr:to>
    <xdr:sp>
      <xdr:nvSpPr>
        <xdr:cNvPr id="17" name="Rectangle 5"/>
        <xdr:cNvSpPr/>
      </xdr:nvSpPr>
      <xdr:spPr>
        <a:xfrm>
          <a:off x="9360" y="190440"/>
          <a:ext cx="1614960" cy="130464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110880</xdr:colOff>
      <xdr:row>1</xdr:row>
      <xdr:rowOff>104760</xdr:rowOff>
    </xdr:from>
    <xdr:to>
      <xdr:col>2</xdr:col>
      <xdr:colOff>898560</xdr:colOff>
      <xdr:row>2</xdr:row>
      <xdr:rowOff>99360</xdr:rowOff>
    </xdr:to>
    <xdr:sp>
      <xdr:nvSpPr>
        <xdr:cNvPr id="18" name="Rectangle 6"/>
        <xdr:cNvSpPr/>
      </xdr:nvSpPr>
      <xdr:spPr>
        <a:xfrm>
          <a:off x="110880" y="27612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335520</xdr:colOff>
      <xdr:row>2</xdr:row>
      <xdr:rowOff>104760</xdr:rowOff>
    </xdr:from>
    <xdr:to>
      <xdr:col>2</xdr:col>
      <xdr:colOff>866880</xdr:colOff>
      <xdr:row>3</xdr:row>
      <xdr:rowOff>90000</xdr:rowOff>
    </xdr:to>
    <xdr:sp>
      <xdr:nvSpPr>
        <xdr:cNvPr id="19" name="Rectangle 7"/>
        <xdr:cNvSpPr/>
      </xdr:nvSpPr>
      <xdr:spPr>
        <a:xfrm>
          <a:off x="335520" y="43812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110160</xdr:colOff>
      <xdr:row>3</xdr:row>
      <xdr:rowOff>619200</xdr:rowOff>
    </xdr:from>
    <xdr:to>
      <xdr:col>2</xdr:col>
      <xdr:colOff>680400</xdr:colOff>
      <xdr:row>3</xdr:row>
      <xdr:rowOff>775800</xdr:rowOff>
    </xdr:to>
    <xdr:sp>
      <xdr:nvSpPr>
        <xdr:cNvPr id="20" name="Rectangle 8"/>
        <xdr:cNvSpPr/>
      </xdr:nvSpPr>
      <xdr:spPr>
        <a:xfrm>
          <a:off x="110160" y="112392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109800</xdr:colOff>
      <xdr:row>4</xdr:row>
      <xdr:rowOff>0</xdr:rowOff>
    </xdr:from>
    <xdr:to>
      <xdr:col>2</xdr:col>
      <xdr:colOff>656640</xdr:colOff>
      <xdr:row>4</xdr:row>
      <xdr:rowOff>156600</xdr:rowOff>
    </xdr:to>
    <xdr:sp>
      <xdr:nvSpPr>
        <xdr:cNvPr id="21" name="Rectangle 9"/>
        <xdr:cNvSpPr/>
      </xdr:nvSpPr>
      <xdr:spPr>
        <a:xfrm>
          <a:off x="109800" y="133344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</xdr:col>
      <xdr:colOff>380880</xdr:colOff>
      <xdr:row>3</xdr:row>
      <xdr:rowOff>133200</xdr:rowOff>
    </xdr:from>
    <xdr:to>
      <xdr:col>2</xdr:col>
      <xdr:colOff>980640</xdr:colOff>
      <xdr:row>3</xdr:row>
      <xdr:rowOff>294840</xdr:rowOff>
    </xdr:to>
    <xdr:sp>
      <xdr:nvSpPr>
        <xdr:cNvPr id="22" name="Freeform 10"/>
        <xdr:cNvSpPr/>
      </xdr:nvSpPr>
      <xdr:spPr>
        <a:xfrm>
          <a:off x="1015200" y="637920"/>
          <a:ext cx="599760" cy="161640"/>
        </a:xfrm>
        <a:custGeom>
          <a:avLst/>
          <a:gdLst>
            <a:gd name="textAreaLeft" fmla="*/ 0 w 599760"/>
            <a:gd name="textAreaRight" fmla="*/ 600120 w 599760"/>
            <a:gd name="textAreaTop" fmla="*/ 0 h 161640"/>
            <a:gd name="textAreaBottom" fmla="*/ 162000 h 1616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2</xdr:col>
      <xdr:colOff>733320</xdr:colOff>
      <xdr:row>3</xdr:row>
      <xdr:rowOff>361800</xdr:rowOff>
    </xdr:from>
    <xdr:to>
      <xdr:col>2</xdr:col>
      <xdr:colOff>923400</xdr:colOff>
      <xdr:row>4</xdr:row>
      <xdr:rowOff>151920</xdr:rowOff>
    </xdr:to>
    <xdr:sp>
      <xdr:nvSpPr>
        <xdr:cNvPr id="23" name="Freeform 11"/>
        <xdr:cNvSpPr/>
      </xdr:nvSpPr>
      <xdr:spPr>
        <a:xfrm>
          <a:off x="1367640" y="866520"/>
          <a:ext cx="190080" cy="618840"/>
        </a:xfrm>
        <a:custGeom>
          <a:avLst/>
          <a:gdLst>
            <a:gd name="textAreaLeft" fmla="*/ 0 w 190080"/>
            <a:gd name="textAreaRight" fmla="*/ 190440 w 190080"/>
            <a:gd name="textAreaTop" fmla="*/ 0 h 618840"/>
            <a:gd name="textAreaBottom" fmla="*/ 619200 h 61884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53</xdr:col>
      <xdr:colOff>252720</xdr:colOff>
      <xdr:row>3</xdr:row>
      <xdr:rowOff>203040</xdr:rowOff>
    </xdr:from>
    <xdr:to>
      <xdr:col>53</xdr:col>
      <xdr:colOff>2067840</xdr:colOff>
      <xdr:row>7</xdr:row>
      <xdr:rowOff>19080</xdr:rowOff>
    </xdr:to>
    <xdr:sp>
      <xdr:nvSpPr>
        <xdr:cNvPr id="24" name="Text Box 39"/>
        <xdr:cNvSpPr/>
      </xdr:nvSpPr>
      <xdr:spPr>
        <a:xfrm>
          <a:off x="18469080" y="707760"/>
          <a:ext cx="1815120" cy="12733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spAutoFit/>
        </a:bodyPr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8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8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HEATMA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HEATMAP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ommandButton2" descr="HOTSPO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HOTSPOTS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ommandButton3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CommandButton4" descr="PRINZIPIE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PRINZIPIEN</a:t>
              </a:r>
            </a:p>
          </xdr:txBody>
        </xdr:sp>
        <xdr:clientData/>
      </xdr:twoCellAnchor>
    </mc:Choice>
  </mc:AlternateContent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48</xdr:col>
      <xdr:colOff>19080</xdr:colOff>
      <xdr:row>48</xdr:row>
      <xdr:rowOff>0</xdr:rowOff>
    </xdr:from>
    <xdr:to>
      <xdr:col>51</xdr:col>
      <xdr:colOff>142560</xdr:colOff>
      <xdr:row>50</xdr:row>
      <xdr:rowOff>161640</xdr:rowOff>
    </xdr:to>
    <xdr:sp>
      <xdr:nvSpPr>
        <xdr:cNvPr id="25" name="Rectangle 5"/>
        <xdr:cNvSpPr/>
      </xdr:nvSpPr>
      <xdr:spPr>
        <a:xfrm>
          <a:off x="15960240" y="10972800"/>
          <a:ext cx="1653840" cy="132372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49</xdr:col>
      <xdr:colOff>32760</xdr:colOff>
      <xdr:row>48</xdr:row>
      <xdr:rowOff>32760</xdr:rowOff>
    </xdr:from>
    <xdr:to>
      <xdr:col>51</xdr:col>
      <xdr:colOff>175680</xdr:colOff>
      <xdr:row>48</xdr:row>
      <xdr:rowOff>189360</xdr:rowOff>
    </xdr:to>
    <xdr:sp>
      <xdr:nvSpPr>
        <xdr:cNvPr id="26" name="Rectangle 6"/>
        <xdr:cNvSpPr/>
      </xdr:nvSpPr>
      <xdr:spPr>
        <a:xfrm>
          <a:off x="16225200" y="1100556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262080</xdr:colOff>
      <xdr:row>48</xdr:row>
      <xdr:rowOff>207000</xdr:rowOff>
    </xdr:from>
    <xdr:to>
      <xdr:col>51</xdr:col>
      <xdr:colOff>148680</xdr:colOff>
      <xdr:row>49</xdr:row>
      <xdr:rowOff>135000</xdr:rowOff>
    </xdr:to>
    <xdr:sp>
      <xdr:nvSpPr>
        <xdr:cNvPr id="27" name="Rectangle 7"/>
        <xdr:cNvSpPr/>
      </xdr:nvSpPr>
      <xdr:spPr>
        <a:xfrm>
          <a:off x="16454520" y="1117980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120960</xdr:colOff>
      <xdr:row>49</xdr:row>
      <xdr:rowOff>687240</xdr:rowOff>
    </xdr:from>
    <xdr:to>
      <xdr:col>51</xdr:col>
      <xdr:colOff>46440</xdr:colOff>
      <xdr:row>49</xdr:row>
      <xdr:rowOff>843840</xdr:rowOff>
    </xdr:to>
    <xdr:sp>
      <xdr:nvSpPr>
        <xdr:cNvPr id="28" name="Rectangle 8"/>
        <xdr:cNvSpPr/>
      </xdr:nvSpPr>
      <xdr:spPr>
        <a:xfrm>
          <a:off x="16313400" y="1188864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49</xdr:col>
      <xdr:colOff>120600</xdr:colOff>
      <xdr:row>49</xdr:row>
      <xdr:rowOff>889920</xdr:rowOff>
    </xdr:from>
    <xdr:to>
      <xdr:col>51</xdr:col>
      <xdr:colOff>22680</xdr:colOff>
      <xdr:row>50</xdr:row>
      <xdr:rowOff>113040</xdr:rowOff>
    </xdr:to>
    <xdr:sp>
      <xdr:nvSpPr>
        <xdr:cNvPr id="29" name="Rectangle 9"/>
        <xdr:cNvSpPr/>
      </xdr:nvSpPr>
      <xdr:spPr>
        <a:xfrm>
          <a:off x="16313040" y="1209132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47</xdr:col>
      <xdr:colOff>210240</xdr:colOff>
      <xdr:row>48</xdr:row>
      <xdr:rowOff>227160</xdr:rowOff>
    </xdr:from>
    <xdr:to>
      <xdr:col>49</xdr:col>
      <xdr:colOff>216720</xdr:colOff>
      <xdr:row>49</xdr:row>
      <xdr:rowOff>173160</xdr:rowOff>
    </xdr:to>
    <xdr:sp>
      <xdr:nvSpPr>
        <xdr:cNvPr id="30" name="Freeform 10"/>
        <xdr:cNvSpPr/>
      </xdr:nvSpPr>
      <xdr:spPr>
        <a:xfrm rot="16200000">
          <a:off x="16026840" y="10992240"/>
          <a:ext cx="174600" cy="590040"/>
        </a:xfrm>
        <a:custGeom>
          <a:avLst/>
          <a:gdLst>
            <a:gd name="textAreaLeft" fmla="*/ 0 w 174600"/>
            <a:gd name="textAreaRight" fmla="*/ 174960 w 174600"/>
            <a:gd name="textAreaTop" fmla="*/ 0 h 590040"/>
            <a:gd name="textAreaBottom" fmla="*/ 590400 h 5900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48</xdr:col>
      <xdr:colOff>19440</xdr:colOff>
      <xdr:row>49</xdr:row>
      <xdr:rowOff>504720</xdr:rowOff>
    </xdr:from>
    <xdr:to>
      <xdr:col>49</xdr:col>
      <xdr:colOff>409680</xdr:colOff>
      <xdr:row>49</xdr:row>
      <xdr:rowOff>694800</xdr:rowOff>
    </xdr:to>
    <xdr:sp>
      <xdr:nvSpPr>
        <xdr:cNvPr id="31" name="Freeform 11"/>
        <xdr:cNvSpPr/>
      </xdr:nvSpPr>
      <xdr:spPr>
        <a:xfrm rot="5400000">
          <a:off x="16186320" y="11480400"/>
          <a:ext cx="190080" cy="641520"/>
        </a:xfrm>
        <a:custGeom>
          <a:avLst/>
          <a:gdLst>
            <a:gd name="textAreaLeft" fmla="*/ 0 w 190080"/>
            <a:gd name="textAreaRight" fmla="*/ 190440 w 190080"/>
            <a:gd name="textAreaTop" fmla="*/ 0 h 641520"/>
            <a:gd name="textAreaBottom" fmla="*/ 641880 h 64152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54</xdr:col>
      <xdr:colOff>160920</xdr:colOff>
      <xdr:row>0</xdr:row>
      <xdr:rowOff>57240</xdr:rowOff>
    </xdr:from>
    <xdr:to>
      <xdr:col>54</xdr:col>
      <xdr:colOff>1988640</xdr:colOff>
      <xdr:row>5</xdr:row>
      <xdr:rowOff>180000</xdr:rowOff>
    </xdr:to>
    <xdr:sp>
      <xdr:nvSpPr>
        <xdr:cNvPr id="32" name="Text Box 39"/>
        <xdr:cNvSpPr/>
      </xdr:nvSpPr>
      <xdr:spPr>
        <a:xfrm>
          <a:off x="18417240" y="57240"/>
          <a:ext cx="1827720" cy="126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noAutofit/>
        </a:bodyPr>
        <a:p>
          <a:pPr algn="ctr">
            <a:lnSpc>
              <a:spcPct val="100000"/>
            </a:lnSpc>
          </a:pPr>
          <a:r>
            <a:rPr b="1" lang="de-DE" sz="40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0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0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CommandButton1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CommandButton1</a:t>
              </a:r>
            </a:p>
          </xdr:txBody>
        </xdr:sp>
        <xdr:clientData/>
      </xdr:twoCellAnchor>
    </mc:Choice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1</xdr:row>
      <xdr:rowOff>19080</xdr:rowOff>
    </xdr:from>
    <xdr:to>
      <xdr:col>2</xdr:col>
      <xdr:colOff>990000</xdr:colOff>
      <xdr:row>4</xdr:row>
      <xdr:rowOff>161640</xdr:rowOff>
    </xdr:to>
    <xdr:sp>
      <xdr:nvSpPr>
        <xdr:cNvPr id="33" name="Rectangle 5"/>
        <xdr:cNvSpPr/>
      </xdr:nvSpPr>
      <xdr:spPr>
        <a:xfrm>
          <a:off x="9360" y="190440"/>
          <a:ext cx="1614960" cy="130464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110880</xdr:colOff>
      <xdr:row>1</xdr:row>
      <xdr:rowOff>104760</xdr:rowOff>
    </xdr:from>
    <xdr:to>
      <xdr:col>2</xdr:col>
      <xdr:colOff>898560</xdr:colOff>
      <xdr:row>2</xdr:row>
      <xdr:rowOff>99360</xdr:rowOff>
    </xdr:to>
    <xdr:sp>
      <xdr:nvSpPr>
        <xdr:cNvPr id="34" name="Rectangle 6"/>
        <xdr:cNvSpPr/>
      </xdr:nvSpPr>
      <xdr:spPr>
        <a:xfrm>
          <a:off x="110880" y="27612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335520</xdr:colOff>
      <xdr:row>2</xdr:row>
      <xdr:rowOff>104760</xdr:rowOff>
    </xdr:from>
    <xdr:to>
      <xdr:col>2</xdr:col>
      <xdr:colOff>866880</xdr:colOff>
      <xdr:row>3</xdr:row>
      <xdr:rowOff>90000</xdr:rowOff>
    </xdr:to>
    <xdr:sp>
      <xdr:nvSpPr>
        <xdr:cNvPr id="35" name="Rectangle 7"/>
        <xdr:cNvSpPr/>
      </xdr:nvSpPr>
      <xdr:spPr>
        <a:xfrm>
          <a:off x="335520" y="43812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110160</xdr:colOff>
      <xdr:row>3</xdr:row>
      <xdr:rowOff>619200</xdr:rowOff>
    </xdr:from>
    <xdr:to>
      <xdr:col>2</xdr:col>
      <xdr:colOff>680400</xdr:colOff>
      <xdr:row>3</xdr:row>
      <xdr:rowOff>775800</xdr:rowOff>
    </xdr:to>
    <xdr:sp>
      <xdr:nvSpPr>
        <xdr:cNvPr id="36" name="Rectangle 8"/>
        <xdr:cNvSpPr/>
      </xdr:nvSpPr>
      <xdr:spPr>
        <a:xfrm>
          <a:off x="110160" y="112392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109800</xdr:colOff>
      <xdr:row>4</xdr:row>
      <xdr:rowOff>0</xdr:rowOff>
    </xdr:from>
    <xdr:to>
      <xdr:col>2</xdr:col>
      <xdr:colOff>656640</xdr:colOff>
      <xdr:row>4</xdr:row>
      <xdr:rowOff>156600</xdr:rowOff>
    </xdr:to>
    <xdr:sp>
      <xdr:nvSpPr>
        <xdr:cNvPr id="37" name="Rectangle 9"/>
        <xdr:cNvSpPr/>
      </xdr:nvSpPr>
      <xdr:spPr>
        <a:xfrm>
          <a:off x="109800" y="133344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</xdr:col>
      <xdr:colOff>380880</xdr:colOff>
      <xdr:row>3</xdr:row>
      <xdr:rowOff>133200</xdr:rowOff>
    </xdr:from>
    <xdr:to>
      <xdr:col>2</xdr:col>
      <xdr:colOff>980640</xdr:colOff>
      <xdr:row>3</xdr:row>
      <xdr:rowOff>294840</xdr:rowOff>
    </xdr:to>
    <xdr:sp>
      <xdr:nvSpPr>
        <xdr:cNvPr id="38" name="Freeform 10"/>
        <xdr:cNvSpPr/>
      </xdr:nvSpPr>
      <xdr:spPr>
        <a:xfrm>
          <a:off x="1015200" y="637920"/>
          <a:ext cx="599760" cy="161640"/>
        </a:xfrm>
        <a:custGeom>
          <a:avLst/>
          <a:gdLst>
            <a:gd name="textAreaLeft" fmla="*/ 0 w 599760"/>
            <a:gd name="textAreaRight" fmla="*/ 600120 w 599760"/>
            <a:gd name="textAreaTop" fmla="*/ 0 h 161640"/>
            <a:gd name="textAreaBottom" fmla="*/ 162000 h 1616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2</xdr:col>
      <xdr:colOff>733320</xdr:colOff>
      <xdr:row>3</xdr:row>
      <xdr:rowOff>361800</xdr:rowOff>
    </xdr:from>
    <xdr:to>
      <xdr:col>2</xdr:col>
      <xdr:colOff>923400</xdr:colOff>
      <xdr:row>4</xdr:row>
      <xdr:rowOff>151920</xdr:rowOff>
    </xdr:to>
    <xdr:sp>
      <xdr:nvSpPr>
        <xdr:cNvPr id="39" name="Freeform 11"/>
        <xdr:cNvSpPr/>
      </xdr:nvSpPr>
      <xdr:spPr>
        <a:xfrm>
          <a:off x="1367640" y="866520"/>
          <a:ext cx="190080" cy="618840"/>
        </a:xfrm>
        <a:custGeom>
          <a:avLst/>
          <a:gdLst>
            <a:gd name="textAreaLeft" fmla="*/ 0 w 190080"/>
            <a:gd name="textAreaRight" fmla="*/ 190440 w 190080"/>
            <a:gd name="textAreaTop" fmla="*/ 0 h 618840"/>
            <a:gd name="textAreaBottom" fmla="*/ 619200 h 61884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53</xdr:col>
      <xdr:colOff>252720</xdr:colOff>
      <xdr:row>3</xdr:row>
      <xdr:rowOff>203040</xdr:rowOff>
    </xdr:from>
    <xdr:to>
      <xdr:col>53</xdr:col>
      <xdr:colOff>2067840</xdr:colOff>
      <xdr:row>7</xdr:row>
      <xdr:rowOff>19080</xdr:rowOff>
    </xdr:to>
    <xdr:sp>
      <xdr:nvSpPr>
        <xdr:cNvPr id="40" name="Text Box 39"/>
        <xdr:cNvSpPr/>
      </xdr:nvSpPr>
      <xdr:spPr>
        <a:xfrm>
          <a:off x="18469080" y="707760"/>
          <a:ext cx="1815120" cy="12733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spAutoFit/>
        </a:bodyPr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8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800" spc="-1" strike="noStrike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1</xdr:row>
      <xdr:rowOff>19080</xdr:rowOff>
    </xdr:from>
    <xdr:to>
      <xdr:col>2</xdr:col>
      <xdr:colOff>990000</xdr:colOff>
      <xdr:row>4</xdr:row>
      <xdr:rowOff>161640</xdr:rowOff>
    </xdr:to>
    <xdr:sp>
      <xdr:nvSpPr>
        <xdr:cNvPr id="41" name="Rectangle 5"/>
        <xdr:cNvSpPr/>
      </xdr:nvSpPr>
      <xdr:spPr>
        <a:xfrm>
          <a:off x="9360" y="190440"/>
          <a:ext cx="1614960" cy="1304640"/>
        </a:xfrm>
        <a:prstGeom prst="rect">
          <a:avLst/>
        </a:prstGeom>
        <a:solidFill>
          <a:srgbClr val="ffffff"/>
        </a:solidFill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110880</xdr:colOff>
      <xdr:row>1</xdr:row>
      <xdr:rowOff>104760</xdr:rowOff>
    </xdr:from>
    <xdr:to>
      <xdr:col>2</xdr:col>
      <xdr:colOff>898560</xdr:colOff>
      <xdr:row>2</xdr:row>
      <xdr:rowOff>99360</xdr:rowOff>
    </xdr:to>
    <xdr:sp>
      <xdr:nvSpPr>
        <xdr:cNvPr id="42" name="Rectangle 6"/>
        <xdr:cNvSpPr/>
      </xdr:nvSpPr>
      <xdr:spPr>
        <a:xfrm>
          <a:off x="110880" y="276120"/>
          <a:ext cx="142200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verschlechternder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335520</xdr:colOff>
      <xdr:row>2</xdr:row>
      <xdr:rowOff>104760</xdr:rowOff>
    </xdr:from>
    <xdr:to>
      <xdr:col>2</xdr:col>
      <xdr:colOff>866880</xdr:colOff>
      <xdr:row>3</xdr:row>
      <xdr:rowOff>90000</xdr:rowOff>
    </xdr:to>
    <xdr:sp>
      <xdr:nvSpPr>
        <xdr:cNvPr id="43" name="Rectangle 7"/>
        <xdr:cNvSpPr/>
      </xdr:nvSpPr>
      <xdr:spPr>
        <a:xfrm>
          <a:off x="335520" y="438120"/>
          <a:ext cx="116568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 algn="r"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(ABER)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110160</xdr:colOff>
      <xdr:row>3</xdr:row>
      <xdr:rowOff>619200</xdr:rowOff>
    </xdr:from>
    <xdr:to>
      <xdr:col>2</xdr:col>
      <xdr:colOff>680400</xdr:colOff>
      <xdr:row>3</xdr:row>
      <xdr:rowOff>775800</xdr:rowOff>
    </xdr:to>
    <xdr:sp>
      <xdr:nvSpPr>
        <xdr:cNvPr id="44" name="Rectangle 8"/>
        <xdr:cNvSpPr/>
      </xdr:nvSpPr>
      <xdr:spPr>
        <a:xfrm>
          <a:off x="110160" y="1123920"/>
          <a:ext cx="12045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Sich verbessernder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109800</xdr:colOff>
      <xdr:row>4</xdr:row>
      <xdr:rowOff>0</xdr:rowOff>
    </xdr:from>
    <xdr:to>
      <xdr:col>2</xdr:col>
      <xdr:colOff>656640</xdr:colOff>
      <xdr:row>4</xdr:row>
      <xdr:rowOff>156600</xdr:rowOff>
    </xdr:to>
    <xdr:sp>
      <xdr:nvSpPr>
        <xdr:cNvPr id="45" name="Rectangle 9"/>
        <xdr:cNvSpPr/>
      </xdr:nvSpPr>
      <xdr:spPr>
        <a:xfrm>
          <a:off x="109800" y="1333440"/>
          <a:ext cx="1181160" cy="1566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0" lang="de-DE" sz="1100" spc="-1" strike="noStrike">
              <a:solidFill>
                <a:srgbClr val="000000"/>
              </a:solidFill>
              <a:latin typeface="Arial"/>
            </a:rPr>
            <a:t>Parameter (DANN)</a:t>
          </a:r>
          <a:endParaRPr b="0" lang="en-IN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</xdr:col>
      <xdr:colOff>380880</xdr:colOff>
      <xdr:row>3</xdr:row>
      <xdr:rowOff>133200</xdr:rowOff>
    </xdr:from>
    <xdr:to>
      <xdr:col>2</xdr:col>
      <xdr:colOff>980640</xdr:colOff>
      <xdr:row>3</xdr:row>
      <xdr:rowOff>294840</xdr:rowOff>
    </xdr:to>
    <xdr:sp>
      <xdr:nvSpPr>
        <xdr:cNvPr id="46" name="Freeform 10"/>
        <xdr:cNvSpPr/>
      </xdr:nvSpPr>
      <xdr:spPr>
        <a:xfrm>
          <a:off x="1015200" y="637920"/>
          <a:ext cx="599760" cy="161640"/>
        </a:xfrm>
        <a:custGeom>
          <a:avLst/>
          <a:gdLst>
            <a:gd name="textAreaLeft" fmla="*/ 0 w 599760"/>
            <a:gd name="textAreaRight" fmla="*/ 600120 w 599760"/>
            <a:gd name="textAreaTop" fmla="*/ 0 h 161640"/>
            <a:gd name="textAreaBottom" fmla="*/ 162000 h 161640"/>
          </a:gdLst>
          <a:ahLst/>
          <a:rect l="textAreaLeft" t="textAreaTop" r="textAreaRight" b="textAreaBottom"/>
          <a:pathLst>
            <a:path w="56" h="18">
              <a:moveTo>
                <a:pt x="28" y="0"/>
              </a:moveTo>
              <a:lnTo>
                <a:pt x="28" y="4"/>
              </a:lnTo>
              <a:lnTo>
                <a:pt x="0" y="4"/>
              </a:lnTo>
              <a:lnTo>
                <a:pt x="0" y="13"/>
              </a:lnTo>
              <a:lnTo>
                <a:pt x="28" y="13"/>
              </a:lnTo>
              <a:lnTo>
                <a:pt x="28" y="18"/>
              </a:lnTo>
              <a:lnTo>
                <a:pt x="56" y="9"/>
              </a:lnTo>
              <a:lnTo>
                <a:pt x="28" y="0"/>
              </a:lnTo>
              <a:close/>
            </a:path>
          </a:pathLst>
        </a:custGeom>
        <a:solidFill>
          <a:srgbClr val="c0504d"/>
        </a:solidFill>
        <a:ln w="9525">
          <a:solidFill>
            <a:srgbClr val="c0504d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2</xdr:col>
      <xdr:colOff>733320</xdr:colOff>
      <xdr:row>3</xdr:row>
      <xdr:rowOff>361800</xdr:rowOff>
    </xdr:from>
    <xdr:to>
      <xdr:col>2</xdr:col>
      <xdr:colOff>923400</xdr:colOff>
      <xdr:row>4</xdr:row>
      <xdr:rowOff>151920</xdr:rowOff>
    </xdr:to>
    <xdr:sp>
      <xdr:nvSpPr>
        <xdr:cNvPr id="47" name="Freeform 11"/>
        <xdr:cNvSpPr/>
      </xdr:nvSpPr>
      <xdr:spPr>
        <a:xfrm>
          <a:off x="1367640" y="866520"/>
          <a:ext cx="190080" cy="618840"/>
        </a:xfrm>
        <a:custGeom>
          <a:avLst/>
          <a:gdLst>
            <a:gd name="textAreaLeft" fmla="*/ 0 w 190080"/>
            <a:gd name="textAreaRight" fmla="*/ 190440 w 190080"/>
            <a:gd name="textAreaTop" fmla="*/ 0 h 618840"/>
            <a:gd name="textAreaBottom" fmla="*/ 619200 h 618840"/>
          </a:gdLst>
          <a:ahLst/>
          <a:rect l="textAreaLeft" t="textAreaTop" r="textAreaRight" b="textAreaBottom"/>
          <a:pathLst>
            <a:path w="18" h="55">
              <a:moveTo>
                <a:pt x="9" y="55"/>
              </a:moveTo>
              <a:lnTo>
                <a:pt x="18" y="28"/>
              </a:lnTo>
              <a:lnTo>
                <a:pt x="13" y="28"/>
              </a:lnTo>
              <a:lnTo>
                <a:pt x="13" y="0"/>
              </a:lnTo>
              <a:lnTo>
                <a:pt x="4" y="0"/>
              </a:lnTo>
              <a:lnTo>
                <a:pt x="4" y="28"/>
              </a:lnTo>
              <a:lnTo>
                <a:pt x="0" y="28"/>
              </a:lnTo>
              <a:lnTo>
                <a:pt x="9" y="55"/>
              </a:lnTo>
              <a:close/>
            </a:path>
          </a:pathLst>
        </a:custGeom>
        <a:solidFill>
          <a:srgbClr val="92d050"/>
        </a:solidFill>
        <a:ln w="9525">
          <a:solidFill>
            <a:srgbClr val="92d05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53</xdr:col>
      <xdr:colOff>252720</xdr:colOff>
      <xdr:row>3</xdr:row>
      <xdr:rowOff>203040</xdr:rowOff>
    </xdr:from>
    <xdr:to>
      <xdr:col>53</xdr:col>
      <xdr:colOff>2067840</xdr:colOff>
      <xdr:row>7</xdr:row>
      <xdr:rowOff>19080</xdr:rowOff>
    </xdr:to>
    <xdr:sp>
      <xdr:nvSpPr>
        <xdr:cNvPr id="48" name="Text Box 39"/>
        <xdr:cNvSpPr/>
      </xdr:nvSpPr>
      <xdr:spPr>
        <a:xfrm>
          <a:off x="18469080" y="707760"/>
          <a:ext cx="1815120" cy="12733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64080" rIns="64080" tIns="54720" bIns="0" anchor="t" upright="1">
          <a:spAutoFit/>
        </a:bodyPr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Matrix</a:t>
          </a:r>
          <a:endParaRPr b="0" lang="en-IN" sz="48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de-DE" sz="4800" spc="-1" strike="noStrike">
              <a:solidFill>
                <a:srgbClr val="ffffff"/>
              </a:solidFill>
              <a:latin typeface="Calibri"/>
            </a:rPr>
            <a:t>2003</a:t>
          </a:r>
          <a:endParaRPr b="0" lang="en-IN" sz="48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HEATMA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HEATMAP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ommandButton2" descr="HOTSPO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HOTSPOTS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ommandButton3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CommandButton4" descr="PRINZIPIE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PRINZIPIEN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3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6.xml"/><Relationship Id="rId4" Type="http://schemas.openxmlformats.org/officeDocument/2006/relationships/ctrlProp" Target="../ctrlProps/ctrlProps7.xml"/><Relationship Id="rId5" Type="http://schemas.openxmlformats.org/officeDocument/2006/relationships/ctrlProp" Target="../ctrlProps/ctrlProps8.xml"/><Relationship Id="rId6" Type="http://schemas.openxmlformats.org/officeDocument/2006/relationships/ctrlProp" Target="../ctrlProps/ctrlProps9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14.xml"/><Relationship Id="rId4" Type="http://schemas.openxmlformats.org/officeDocument/2006/relationships/ctrlProp" Target="../ctrlProps/ctrlProps15.xml"/><Relationship Id="rId5" Type="http://schemas.openxmlformats.org/officeDocument/2006/relationships/ctrlProp" Target="../ctrlProps/ctrlProps16.xml"/><Relationship Id="rId6" Type="http://schemas.openxmlformats.org/officeDocument/2006/relationships/ctrlProp" Target="../ctrlProps/ctrlProps1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true"/>
  </sheetPr>
  <dimension ref="A1:BI56"/>
  <sheetViews>
    <sheetView showFormulas="false" showGridLines="false" showRowColHeaders="true" showZeros="true" rightToLeft="false" tabSelected="true" showOutlineSymbols="true" defaultGridColor="true" view="normal" topLeftCell="A1" colorId="64" zoomScale="80" zoomScaleNormal="80" zoomScalePageLayoutView="89" workbookViewId="0">
      <selection pane="topLeft" activeCell="A1" activeCellId="0" sqref="A1"/>
    </sheetView>
  </sheetViews>
  <sheetFormatPr defaultColWidth="11.42578125" defaultRowHeight="12.75" zeroHeight="false" outlineLevelRow="0" outlineLevelCol="0"/>
  <cols>
    <col collapsed="false" customWidth="true" hidden="false" outlineLevel="0" max="1" min="1" style="1" width="6"/>
    <col collapsed="false" customWidth="true" hidden="false" outlineLevel="0" max="2" min="2" style="1" width="3"/>
    <col collapsed="false" customWidth="true" hidden="false" outlineLevel="0" max="3" min="3" style="1" width="15"/>
    <col collapsed="false" customWidth="true" hidden="false" outlineLevel="0" max="52" min="4" style="1" width="4.71"/>
    <col collapsed="false" customWidth="true" hidden="false" outlineLevel="0" max="53" min="53" style="1" width="3.57"/>
    <col collapsed="false" customWidth="true" hidden="false" outlineLevel="0" max="54" min="54" style="1" width="37.29"/>
    <col collapsed="false" customWidth="true" hidden="false" outlineLevel="0" max="60" min="55" style="1" width="4.71"/>
    <col collapsed="false" customWidth="true" hidden="false" outlineLevel="0" max="61" min="61" style="1" width="3.29"/>
    <col collapsed="false" customWidth="true" hidden="false" outlineLevel="0" max="62" min="62" style="1" width="30.85"/>
    <col collapsed="false" customWidth="true" hidden="false" outlineLevel="0" max="63" min="63" style="1" width="0.57"/>
    <col collapsed="false" customWidth="false" hidden="false" outlineLevel="0" max="16384" min="64" style="1" width="11.43"/>
  </cols>
  <sheetData>
    <row r="1" s="2" customFormat="true" ht="13.5" hidden="false" customHeight="false" outlineLevel="0" collapsed="false"/>
    <row r="2" customFormat="false" ht="12.75" hidden="false" customHeight="true" outlineLevel="0" collapsed="false">
      <c r="D2" s="3" t="s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4" t="s">
        <v>1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5" t="s">
        <v>2</v>
      </c>
      <c r="AB2" s="5"/>
      <c r="AC2" s="5"/>
      <c r="AD2" s="5"/>
      <c r="AE2" s="5"/>
      <c r="AF2" s="5"/>
      <c r="AG2" s="5"/>
      <c r="AH2" s="5"/>
      <c r="AI2" s="6" t="s">
        <v>3</v>
      </c>
      <c r="AJ2" s="6"/>
      <c r="AK2" s="6"/>
      <c r="AL2" s="6"/>
      <c r="AM2" s="6"/>
      <c r="AN2" s="6"/>
      <c r="AO2" s="6"/>
      <c r="AP2" s="6"/>
      <c r="AQ2" s="6"/>
      <c r="AR2" s="7" t="s">
        <v>4</v>
      </c>
      <c r="AS2" s="7"/>
      <c r="AT2" s="7"/>
      <c r="AU2" s="7"/>
      <c r="AV2" s="7"/>
      <c r="AW2" s="7"/>
      <c r="AX2" s="8" t="s">
        <v>5</v>
      </c>
      <c r="AY2" s="8"/>
      <c r="BA2" s="9"/>
      <c r="BB2" s="10"/>
    </row>
    <row r="3" customFormat="false" ht="13.5" hidden="false" customHeight="true" outlineLevel="0" collapsed="false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5"/>
      <c r="AB3" s="5"/>
      <c r="AC3" s="5"/>
      <c r="AD3" s="5"/>
      <c r="AE3" s="5"/>
      <c r="AF3" s="5"/>
      <c r="AG3" s="5"/>
      <c r="AH3" s="5"/>
      <c r="AI3" s="6"/>
      <c r="AJ3" s="6"/>
      <c r="AK3" s="6"/>
      <c r="AL3" s="6"/>
      <c r="AM3" s="6"/>
      <c r="AN3" s="6"/>
      <c r="AO3" s="6"/>
      <c r="AP3" s="6"/>
      <c r="AQ3" s="6"/>
      <c r="AR3" s="7"/>
      <c r="AS3" s="7"/>
      <c r="AT3" s="7"/>
      <c r="AU3" s="7"/>
      <c r="AV3" s="7"/>
      <c r="AW3" s="7"/>
      <c r="AX3" s="8"/>
      <c r="AY3" s="8"/>
      <c r="BA3" s="9"/>
      <c r="BB3" s="10"/>
    </row>
    <row r="4" customFormat="false" ht="65.25" hidden="false" customHeight="true" outlineLevel="0" collapsed="false">
      <c r="B4" s="11"/>
      <c r="C4" s="12"/>
      <c r="D4" s="13" t="s">
        <v>6</v>
      </c>
      <c r="E4" s="14" t="s">
        <v>7</v>
      </c>
      <c r="F4" s="15" t="s">
        <v>8</v>
      </c>
      <c r="G4" s="14" t="s">
        <v>9</v>
      </c>
      <c r="H4" s="15" t="s">
        <v>10</v>
      </c>
      <c r="I4" s="14" t="s">
        <v>11</v>
      </c>
      <c r="J4" s="15" t="s">
        <v>12</v>
      </c>
      <c r="K4" s="14" t="s">
        <v>13</v>
      </c>
      <c r="L4" s="15" t="s">
        <v>14</v>
      </c>
      <c r="M4" s="14" t="s">
        <v>15</v>
      </c>
      <c r="N4" s="16" t="s">
        <v>16</v>
      </c>
      <c r="O4" s="17" t="s">
        <v>17</v>
      </c>
      <c r="P4" s="15" t="s">
        <v>18</v>
      </c>
      <c r="Q4" s="18" t="s">
        <v>19</v>
      </c>
      <c r="R4" s="15" t="s">
        <v>20</v>
      </c>
      <c r="S4" s="18" t="s">
        <v>21</v>
      </c>
      <c r="T4" s="19" t="s">
        <v>22</v>
      </c>
      <c r="U4" s="14" t="s">
        <v>23</v>
      </c>
      <c r="V4" s="15" t="s">
        <v>24</v>
      </c>
      <c r="W4" s="14" t="s">
        <v>25</v>
      </c>
      <c r="X4" s="20" t="s">
        <v>26</v>
      </c>
      <c r="Y4" s="14" t="s">
        <v>27</v>
      </c>
      <c r="Z4" s="16" t="s">
        <v>28</v>
      </c>
      <c r="AA4" s="21" t="s">
        <v>29</v>
      </c>
      <c r="AB4" s="15" t="s">
        <v>30</v>
      </c>
      <c r="AC4" s="14" t="s">
        <v>31</v>
      </c>
      <c r="AD4" s="15" t="s">
        <v>32</v>
      </c>
      <c r="AE4" s="14" t="s">
        <v>33</v>
      </c>
      <c r="AF4" s="15" t="s">
        <v>34</v>
      </c>
      <c r="AG4" s="14" t="s">
        <v>35</v>
      </c>
      <c r="AH4" s="22" t="s">
        <v>36</v>
      </c>
      <c r="AI4" s="17" t="s">
        <v>37</v>
      </c>
      <c r="AJ4" s="15" t="s">
        <v>38</v>
      </c>
      <c r="AK4" s="17" t="s">
        <v>39</v>
      </c>
      <c r="AL4" s="15" t="s">
        <v>40</v>
      </c>
      <c r="AM4" s="18" t="s">
        <v>41</v>
      </c>
      <c r="AN4" s="15" t="s">
        <v>42</v>
      </c>
      <c r="AO4" s="14" t="s">
        <v>43</v>
      </c>
      <c r="AP4" s="15" t="s">
        <v>44</v>
      </c>
      <c r="AQ4" s="18" t="s">
        <v>45</v>
      </c>
      <c r="AR4" s="23" t="s">
        <v>46</v>
      </c>
      <c r="AS4" s="14" t="s">
        <v>47</v>
      </c>
      <c r="AT4" s="15" t="s">
        <v>48</v>
      </c>
      <c r="AU4" s="14" t="s">
        <v>49</v>
      </c>
      <c r="AV4" s="15" t="s">
        <v>50</v>
      </c>
      <c r="AW4" s="24" t="s">
        <v>51</v>
      </c>
      <c r="AX4" s="23" t="s">
        <v>52</v>
      </c>
      <c r="AY4" s="25" t="s">
        <v>53</v>
      </c>
      <c r="BA4" s="9"/>
      <c r="BB4" s="10"/>
    </row>
    <row r="5" customFormat="false" ht="13.5" hidden="false" customHeight="true" outlineLevel="0" collapsed="false">
      <c r="B5" s="26"/>
      <c r="C5" s="27"/>
      <c r="D5" s="28" t="n">
        <v>1</v>
      </c>
      <c r="E5" s="29" t="n">
        <v>2</v>
      </c>
      <c r="F5" s="30" t="n">
        <v>3</v>
      </c>
      <c r="G5" s="29" t="n">
        <v>4</v>
      </c>
      <c r="H5" s="30" t="n">
        <v>5</v>
      </c>
      <c r="I5" s="29" t="n">
        <v>6</v>
      </c>
      <c r="J5" s="30" t="n">
        <v>7</v>
      </c>
      <c r="K5" s="29" t="n">
        <v>8</v>
      </c>
      <c r="L5" s="30" t="n">
        <v>9</v>
      </c>
      <c r="M5" s="29" t="n">
        <v>10</v>
      </c>
      <c r="N5" s="31" t="n">
        <v>11</v>
      </c>
      <c r="O5" s="32" t="n">
        <v>12</v>
      </c>
      <c r="P5" s="33" t="n">
        <v>13</v>
      </c>
      <c r="Q5" s="29" t="n">
        <v>14</v>
      </c>
      <c r="R5" s="33" t="n">
        <v>15</v>
      </c>
      <c r="S5" s="29" t="n">
        <v>16</v>
      </c>
      <c r="T5" s="33" t="n">
        <v>17</v>
      </c>
      <c r="U5" s="29" t="n">
        <v>18</v>
      </c>
      <c r="V5" s="33" t="n">
        <v>19</v>
      </c>
      <c r="W5" s="29" t="n">
        <v>20</v>
      </c>
      <c r="X5" s="34" t="n">
        <v>21</v>
      </c>
      <c r="Y5" s="29" t="n">
        <v>22</v>
      </c>
      <c r="Z5" s="35" t="n">
        <v>23</v>
      </c>
      <c r="AA5" s="36" t="n">
        <v>24</v>
      </c>
      <c r="AB5" s="37" t="n">
        <v>25</v>
      </c>
      <c r="AC5" s="29" t="n">
        <v>26</v>
      </c>
      <c r="AD5" s="37" t="n">
        <v>27</v>
      </c>
      <c r="AE5" s="29" t="n">
        <v>28</v>
      </c>
      <c r="AF5" s="37" t="n">
        <v>29</v>
      </c>
      <c r="AG5" s="29" t="n">
        <v>30</v>
      </c>
      <c r="AH5" s="38" t="n">
        <v>31</v>
      </c>
      <c r="AI5" s="32" t="n">
        <v>32</v>
      </c>
      <c r="AJ5" s="37" t="n">
        <v>33</v>
      </c>
      <c r="AK5" s="32" t="n">
        <v>34</v>
      </c>
      <c r="AL5" s="39" t="n">
        <v>35</v>
      </c>
      <c r="AM5" s="29" t="n">
        <v>36</v>
      </c>
      <c r="AN5" s="39" t="n">
        <v>37</v>
      </c>
      <c r="AO5" s="32" t="n">
        <v>38</v>
      </c>
      <c r="AP5" s="37" t="n">
        <v>39</v>
      </c>
      <c r="AQ5" s="40" t="n">
        <v>40</v>
      </c>
      <c r="AR5" s="41" t="n">
        <v>41</v>
      </c>
      <c r="AS5" s="42" t="n">
        <v>42</v>
      </c>
      <c r="AT5" s="43" t="n">
        <v>43</v>
      </c>
      <c r="AU5" s="44" t="n">
        <v>44</v>
      </c>
      <c r="AV5" s="45" t="n">
        <v>45</v>
      </c>
      <c r="AW5" s="46" t="n">
        <v>46</v>
      </c>
      <c r="AX5" s="41" t="n">
        <v>47</v>
      </c>
      <c r="AY5" s="47" t="n">
        <v>48</v>
      </c>
      <c r="AZ5" s="48" t="n">
        <v>5</v>
      </c>
      <c r="BA5" s="9"/>
      <c r="BB5" s="49"/>
    </row>
    <row r="6" customFormat="false" ht="18" hidden="false" customHeight="true" outlineLevel="0" collapsed="false">
      <c r="A6" s="50" t="s">
        <v>0</v>
      </c>
      <c r="B6" s="51" t="n">
        <v>1</v>
      </c>
      <c r="C6" s="52" t="s">
        <v>6</v>
      </c>
      <c r="D6" s="53"/>
      <c r="E6" s="54" t="s">
        <v>54</v>
      </c>
      <c r="F6" s="54" t="s">
        <v>55</v>
      </c>
      <c r="G6" s="54" t="s">
        <v>56</v>
      </c>
      <c r="H6" s="54" t="s">
        <v>57</v>
      </c>
      <c r="I6" s="54" t="s">
        <v>58</v>
      </c>
      <c r="J6" s="54" t="s">
        <v>59</v>
      </c>
      <c r="K6" s="54" t="s">
        <v>60</v>
      </c>
      <c r="L6" s="54" t="s">
        <v>61</v>
      </c>
      <c r="M6" s="54" t="s">
        <v>62</v>
      </c>
      <c r="N6" s="55" t="s">
        <v>63</v>
      </c>
      <c r="O6" s="56" t="s">
        <v>64</v>
      </c>
      <c r="P6" s="54" t="s">
        <v>65</v>
      </c>
      <c r="Q6" s="54" t="s">
        <v>66</v>
      </c>
      <c r="R6" s="54" t="s">
        <v>67</v>
      </c>
      <c r="S6" s="54" t="s">
        <v>68</v>
      </c>
      <c r="T6" s="54" t="s">
        <v>69</v>
      </c>
      <c r="U6" s="54" t="s">
        <v>70</v>
      </c>
      <c r="V6" s="54" t="s">
        <v>71</v>
      </c>
      <c r="W6" s="54" t="s">
        <v>72</v>
      </c>
      <c r="X6" s="54" t="s">
        <v>73</v>
      </c>
      <c r="Y6" s="54" t="s">
        <v>74</v>
      </c>
      <c r="Z6" s="55" t="s">
        <v>75</v>
      </c>
      <c r="AA6" s="56" t="s">
        <v>76</v>
      </c>
      <c r="AB6" s="54" t="s">
        <v>77</v>
      </c>
      <c r="AC6" s="54" t="s">
        <v>78</v>
      </c>
      <c r="AD6" s="54" t="s">
        <v>79</v>
      </c>
      <c r="AE6" s="54" t="s">
        <v>80</v>
      </c>
      <c r="AF6" s="54" t="s">
        <v>81</v>
      </c>
      <c r="AG6" s="54" t="s">
        <v>82</v>
      </c>
      <c r="AH6" s="55" t="s">
        <v>83</v>
      </c>
      <c r="AI6" s="56" t="s">
        <v>84</v>
      </c>
      <c r="AJ6" s="54" t="s">
        <v>85</v>
      </c>
      <c r="AK6" s="54" t="s">
        <v>86</v>
      </c>
      <c r="AL6" s="54" t="s">
        <v>87</v>
      </c>
      <c r="AM6" s="54" t="s">
        <v>88</v>
      </c>
      <c r="AN6" s="54" t="s">
        <v>89</v>
      </c>
      <c r="AO6" s="54" t="s">
        <v>90</v>
      </c>
      <c r="AP6" s="54" t="s">
        <v>91</v>
      </c>
      <c r="AQ6" s="55" t="s">
        <v>92</v>
      </c>
      <c r="AR6" s="56" t="s">
        <v>93</v>
      </c>
      <c r="AS6" s="54" t="s">
        <v>94</v>
      </c>
      <c r="AT6" s="54" t="s">
        <v>95</v>
      </c>
      <c r="AU6" s="54" t="s">
        <v>96</v>
      </c>
      <c r="AV6" s="54" t="s">
        <v>97</v>
      </c>
      <c r="AW6" s="55" t="s">
        <v>98</v>
      </c>
      <c r="AX6" s="56" t="s">
        <v>99</v>
      </c>
      <c r="AY6" s="55" t="s">
        <v>100</v>
      </c>
      <c r="AZ6" s="57" t="n">
        <v>19</v>
      </c>
      <c r="BA6" s="9"/>
      <c r="BB6" s="9"/>
    </row>
    <row r="7" customFormat="false" ht="18" hidden="false" customHeight="true" outlineLevel="0" collapsed="false">
      <c r="A7" s="50"/>
      <c r="B7" s="58" t="n">
        <v>2</v>
      </c>
      <c r="C7" s="59" t="s">
        <v>7</v>
      </c>
      <c r="D7" s="60" t="s">
        <v>101</v>
      </c>
      <c r="E7" s="61"/>
      <c r="F7" s="62" t="s">
        <v>102</v>
      </c>
      <c r="G7" s="62" t="s">
        <v>103</v>
      </c>
      <c r="H7" s="62" t="s">
        <v>104</v>
      </c>
      <c r="I7" s="62" t="s">
        <v>105</v>
      </c>
      <c r="J7" s="62" t="s">
        <v>106</v>
      </c>
      <c r="K7" s="62" t="s">
        <v>107</v>
      </c>
      <c r="L7" s="62" t="s">
        <v>108</v>
      </c>
      <c r="M7" s="62" t="s">
        <v>109</v>
      </c>
      <c r="N7" s="63" t="s">
        <v>110</v>
      </c>
      <c r="O7" s="60" t="s">
        <v>111</v>
      </c>
      <c r="P7" s="62" t="s">
        <v>112</v>
      </c>
      <c r="Q7" s="62" t="s">
        <v>113</v>
      </c>
      <c r="R7" s="62" t="s">
        <v>114</v>
      </c>
      <c r="S7" s="62" t="s">
        <v>115</v>
      </c>
      <c r="T7" s="62" t="s">
        <v>116</v>
      </c>
      <c r="U7" s="62" t="s">
        <v>117</v>
      </c>
      <c r="V7" s="62" t="s">
        <v>118</v>
      </c>
      <c r="W7" s="62" t="s">
        <v>119</v>
      </c>
      <c r="X7" s="62" t="s">
        <v>120</v>
      </c>
      <c r="Y7" s="62" t="s">
        <v>121</v>
      </c>
      <c r="Z7" s="63" t="s">
        <v>122</v>
      </c>
      <c r="AA7" s="60" t="s">
        <v>123</v>
      </c>
      <c r="AB7" s="62" t="s">
        <v>124</v>
      </c>
      <c r="AC7" s="62" t="s">
        <v>125</v>
      </c>
      <c r="AD7" s="62" t="s">
        <v>126</v>
      </c>
      <c r="AE7" s="62" t="s">
        <v>127</v>
      </c>
      <c r="AF7" s="62" t="s">
        <v>128</v>
      </c>
      <c r="AG7" s="62" t="s">
        <v>129</v>
      </c>
      <c r="AH7" s="63" t="s">
        <v>130</v>
      </c>
      <c r="AI7" s="60" t="s">
        <v>131</v>
      </c>
      <c r="AJ7" s="62" t="s">
        <v>132</v>
      </c>
      <c r="AK7" s="62" t="s">
        <v>133</v>
      </c>
      <c r="AL7" s="62" t="s">
        <v>134</v>
      </c>
      <c r="AM7" s="62" t="s">
        <v>135</v>
      </c>
      <c r="AN7" s="62" t="s">
        <v>136</v>
      </c>
      <c r="AO7" s="62" t="s">
        <v>137</v>
      </c>
      <c r="AP7" s="62" t="s">
        <v>138</v>
      </c>
      <c r="AQ7" s="63" t="s">
        <v>139</v>
      </c>
      <c r="AR7" s="60" t="s">
        <v>140</v>
      </c>
      <c r="AS7" s="62" t="s">
        <v>141</v>
      </c>
      <c r="AT7" s="62" t="s">
        <v>142</v>
      </c>
      <c r="AU7" s="62" t="s">
        <v>143</v>
      </c>
      <c r="AV7" s="62" t="s">
        <v>144</v>
      </c>
      <c r="AW7" s="63" t="s">
        <v>145</v>
      </c>
      <c r="AX7" s="60" t="s">
        <v>146</v>
      </c>
      <c r="AY7" s="63" t="s">
        <v>147</v>
      </c>
      <c r="AZ7" s="57" t="n">
        <v>40</v>
      </c>
      <c r="BA7" s="9"/>
      <c r="BB7" s="9"/>
    </row>
    <row r="8" customFormat="false" ht="18" hidden="false" customHeight="true" outlineLevel="0" collapsed="false">
      <c r="A8" s="50"/>
      <c r="B8" s="64" t="n">
        <v>3</v>
      </c>
      <c r="C8" s="65" t="s">
        <v>148</v>
      </c>
      <c r="D8" s="66" t="s">
        <v>149</v>
      </c>
      <c r="E8" s="67" t="s">
        <v>150</v>
      </c>
      <c r="F8" s="61"/>
      <c r="G8" s="67" t="s">
        <v>151</v>
      </c>
      <c r="H8" s="68" t="s">
        <v>152</v>
      </c>
      <c r="I8" s="67" t="s">
        <v>153</v>
      </c>
      <c r="J8" s="68" t="s">
        <v>154</v>
      </c>
      <c r="K8" s="67" t="s">
        <v>155</v>
      </c>
      <c r="L8" s="68" t="s">
        <v>156</v>
      </c>
      <c r="M8" s="67" t="s">
        <v>157</v>
      </c>
      <c r="N8" s="69" t="s">
        <v>158</v>
      </c>
      <c r="O8" s="66" t="s">
        <v>159</v>
      </c>
      <c r="P8" s="68" t="s">
        <v>160</v>
      </c>
      <c r="Q8" s="68" t="s">
        <v>161</v>
      </c>
      <c r="R8" s="68" t="s">
        <v>162</v>
      </c>
      <c r="S8" s="68" t="s">
        <v>163</v>
      </c>
      <c r="T8" s="68" t="s">
        <v>164</v>
      </c>
      <c r="U8" s="68" t="s">
        <v>165</v>
      </c>
      <c r="V8" s="68" t="s">
        <v>166</v>
      </c>
      <c r="W8" s="68" t="s">
        <v>167</v>
      </c>
      <c r="X8" s="68" t="s">
        <v>168</v>
      </c>
      <c r="Y8" s="68" t="s">
        <v>169</v>
      </c>
      <c r="Z8" s="69" t="s">
        <v>170</v>
      </c>
      <c r="AA8" s="66" t="s">
        <v>171</v>
      </c>
      <c r="AB8" s="68" t="s">
        <v>172</v>
      </c>
      <c r="AC8" s="68" t="s">
        <v>173</v>
      </c>
      <c r="AD8" s="68" t="s">
        <v>174</v>
      </c>
      <c r="AE8" s="68" t="s">
        <v>175</v>
      </c>
      <c r="AF8" s="68" t="s">
        <v>176</v>
      </c>
      <c r="AG8" s="68" t="s">
        <v>177</v>
      </c>
      <c r="AH8" s="69" t="s">
        <v>178</v>
      </c>
      <c r="AI8" s="66" t="s">
        <v>179</v>
      </c>
      <c r="AJ8" s="68" t="s">
        <v>180</v>
      </c>
      <c r="AK8" s="68" t="s">
        <v>181</v>
      </c>
      <c r="AL8" s="68" t="s">
        <v>182</v>
      </c>
      <c r="AM8" s="68" t="s">
        <v>183</v>
      </c>
      <c r="AN8" s="68" t="s">
        <v>184</v>
      </c>
      <c r="AO8" s="68" t="s">
        <v>185</v>
      </c>
      <c r="AP8" s="68" t="s">
        <v>186</v>
      </c>
      <c r="AQ8" s="69" t="s">
        <v>187</v>
      </c>
      <c r="AR8" s="66" t="s">
        <v>188</v>
      </c>
      <c r="AS8" s="68" t="s">
        <v>189</v>
      </c>
      <c r="AT8" s="68" t="s">
        <v>190</v>
      </c>
      <c r="AU8" s="68" t="s">
        <v>191</v>
      </c>
      <c r="AV8" s="68" t="s">
        <v>192</v>
      </c>
      <c r="AW8" s="69" t="s">
        <v>193</v>
      </c>
      <c r="AX8" s="66" t="s">
        <v>194</v>
      </c>
      <c r="AY8" s="69" t="s">
        <v>195</v>
      </c>
      <c r="AZ8" s="57" t="n">
        <v>16</v>
      </c>
      <c r="BA8" s="9"/>
      <c r="BB8" s="9"/>
    </row>
    <row r="9" customFormat="false" ht="18" hidden="false" customHeight="true" outlineLevel="0" collapsed="false">
      <c r="A9" s="50"/>
      <c r="B9" s="60" t="n">
        <v>4</v>
      </c>
      <c r="C9" s="59" t="s">
        <v>196</v>
      </c>
      <c r="D9" s="60" t="s">
        <v>197</v>
      </c>
      <c r="E9" s="62" t="s">
        <v>198</v>
      </c>
      <c r="F9" s="62" t="s">
        <v>199</v>
      </c>
      <c r="G9" s="61"/>
      <c r="H9" s="62" t="s">
        <v>200</v>
      </c>
      <c r="I9" s="62" t="s">
        <v>201</v>
      </c>
      <c r="J9" s="62" t="s">
        <v>202</v>
      </c>
      <c r="K9" s="62" t="s">
        <v>203</v>
      </c>
      <c r="L9" s="62" t="s">
        <v>204</v>
      </c>
      <c r="M9" s="62" t="s">
        <v>205</v>
      </c>
      <c r="N9" s="63" t="s">
        <v>206</v>
      </c>
      <c r="O9" s="60" t="s">
        <v>207</v>
      </c>
      <c r="P9" s="62" t="s">
        <v>208</v>
      </c>
      <c r="Q9" s="62" t="s">
        <v>209</v>
      </c>
      <c r="R9" s="62" t="s">
        <v>210</v>
      </c>
      <c r="S9" s="62" t="s">
        <v>211</v>
      </c>
      <c r="T9" s="62" t="s">
        <v>212</v>
      </c>
      <c r="U9" s="62" t="s">
        <v>213</v>
      </c>
      <c r="V9" s="62" t="s">
        <v>214</v>
      </c>
      <c r="W9" s="62" t="s">
        <v>215</v>
      </c>
      <c r="X9" s="62" t="s">
        <v>216</v>
      </c>
      <c r="Y9" s="62" t="s">
        <v>217</v>
      </c>
      <c r="Z9" s="63" t="s">
        <v>218</v>
      </c>
      <c r="AA9" s="60" t="s">
        <v>219</v>
      </c>
      <c r="AB9" s="62" t="s">
        <v>220</v>
      </c>
      <c r="AC9" s="62" t="s">
        <v>221</v>
      </c>
      <c r="AD9" s="62" t="s">
        <v>222</v>
      </c>
      <c r="AE9" s="62" t="s">
        <v>223</v>
      </c>
      <c r="AF9" s="62" t="s">
        <v>224</v>
      </c>
      <c r="AG9" s="62" t="s">
        <v>225</v>
      </c>
      <c r="AH9" s="63" t="s">
        <v>226</v>
      </c>
      <c r="AI9" s="60" t="s">
        <v>227</v>
      </c>
      <c r="AJ9" s="62" t="s">
        <v>228</v>
      </c>
      <c r="AK9" s="62" t="s">
        <v>229</v>
      </c>
      <c r="AL9" s="62" t="s">
        <v>230</v>
      </c>
      <c r="AM9" s="62" t="s">
        <v>231</v>
      </c>
      <c r="AN9" s="62" t="s">
        <v>232</v>
      </c>
      <c r="AO9" s="62" t="s">
        <v>233</v>
      </c>
      <c r="AP9" s="62" t="s">
        <v>234</v>
      </c>
      <c r="AQ9" s="63" t="s">
        <v>235</v>
      </c>
      <c r="AR9" s="60" t="s">
        <v>236</v>
      </c>
      <c r="AS9" s="62" t="s">
        <v>237</v>
      </c>
      <c r="AT9" s="62" t="s">
        <v>238</v>
      </c>
      <c r="AU9" s="62" t="s">
        <v>239</v>
      </c>
      <c r="AV9" s="62" t="s">
        <v>240</v>
      </c>
      <c r="AW9" s="63" t="s">
        <v>241</v>
      </c>
      <c r="AX9" s="60" t="s">
        <v>242</v>
      </c>
      <c r="AY9" s="63" t="s">
        <v>243</v>
      </c>
      <c r="AZ9" s="57" t="n">
        <v>38</v>
      </c>
      <c r="BA9" s="9"/>
      <c r="BB9" s="9"/>
    </row>
    <row r="10" customFormat="false" ht="18" hidden="false" customHeight="true" outlineLevel="0" collapsed="false">
      <c r="A10" s="50"/>
      <c r="B10" s="64" t="n">
        <v>5</v>
      </c>
      <c r="C10" s="65" t="s">
        <v>10</v>
      </c>
      <c r="D10" s="66" t="s">
        <v>244</v>
      </c>
      <c r="E10" s="67" t="s">
        <v>245</v>
      </c>
      <c r="F10" s="68" t="s">
        <v>246</v>
      </c>
      <c r="G10" s="67" t="s">
        <v>247</v>
      </c>
      <c r="H10" s="61"/>
      <c r="I10" s="67" t="s">
        <v>248</v>
      </c>
      <c r="J10" s="68" t="s">
        <v>249</v>
      </c>
      <c r="K10" s="67" t="s">
        <v>250</v>
      </c>
      <c r="L10" s="68" t="s">
        <v>251</v>
      </c>
      <c r="M10" s="67" t="s">
        <v>252</v>
      </c>
      <c r="N10" s="69" t="s">
        <v>253</v>
      </c>
      <c r="O10" s="66" t="s">
        <v>254</v>
      </c>
      <c r="P10" s="68" t="s">
        <v>255</v>
      </c>
      <c r="Q10" s="68" t="s">
        <v>256</v>
      </c>
      <c r="R10" s="68" t="s">
        <v>257</v>
      </c>
      <c r="S10" s="68" t="s">
        <v>258</v>
      </c>
      <c r="T10" s="68" t="s">
        <v>259</v>
      </c>
      <c r="U10" s="68" t="s">
        <v>260</v>
      </c>
      <c r="V10" s="68" t="s">
        <v>261</v>
      </c>
      <c r="W10" s="68" t="s">
        <v>262</v>
      </c>
      <c r="X10" s="68" t="s">
        <v>263</v>
      </c>
      <c r="Y10" s="68" t="s">
        <v>264</v>
      </c>
      <c r="Z10" s="69" t="s">
        <v>265</v>
      </c>
      <c r="AA10" s="66" t="s">
        <v>266</v>
      </c>
      <c r="AB10" s="68" t="s">
        <v>267</v>
      </c>
      <c r="AC10" s="68" t="s">
        <v>268</v>
      </c>
      <c r="AD10" s="68" t="s">
        <v>269</v>
      </c>
      <c r="AE10" s="68" t="s">
        <v>270</v>
      </c>
      <c r="AF10" s="68" t="s">
        <v>271</v>
      </c>
      <c r="AG10" s="68" t="s">
        <v>272</v>
      </c>
      <c r="AH10" s="69" t="s">
        <v>273</v>
      </c>
      <c r="AI10" s="66" t="s">
        <v>274</v>
      </c>
      <c r="AJ10" s="68" t="s">
        <v>275</v>
      </c>
      <c r="AK10" s="68" t="s">
        <v>276</v>
      </c>
      <c r="AL10" s="68" t="s">
        <v>277</v>
      </c>
      <c r="AM10" s="68" t="s">
        <v>278</v>
      </c>
      <c r="AN10" s="68" t="s">
        <v>279</v>
      </c>
      <c r="AO10" s="68" t="s">
        <v>280</v>
      </c>
      <c r="AP10" s="68" t="s">
        <v>281</v>
      </c>
      <c r="AQ10" s="69" t="s">
        <v>282</v>
      </c>
      <c r="AR10" s="66" t="s">
        <v>283</v>
      </c>
      <c r="AS10" s="68" t="s">
        <v>284</v>
      </c>
      <c r="AT10" s="68" t="s">
        <v>285</v>
      </c>
      <c r="AU10" s="68" t="s">
        <v>286</v>
      </c>
      <c r="AV10" s="68" t="s">
        <v>287</v>
      </c>
      <c r="AW10" s="69" t="s">
        <v>288</v>
      </c>
      <c r="AX10" s="66" t="s">
        <v>289</v>
      </c>
      <c r="AY10" s="69" t="s">
        <v>290</v>
      </c>
      <c r="AZ10" s="57" t="n">
        <v>12</v>
      </c>
      <c r="BA10" s="9"/>
      <c r="BB10" s="9"/>
    </row>
    <row r="11" customFormat="false" ht="18" hidden="false" customHeight="true" outlineLevel="0" collapsed="false">
      <c r="A11" s="50"/>
      <c r="B11" s="60" t="n">
        <v>6</v>
      </c>
      <c r="C11" s="59" t="s">
        <v>11</v>
      </c>
      <c r="D11" s="60" t="s">
        <v>291</v>
      </c>
      <c r="E11" s="62" t="s">
        <v>292</v>
      </c>
      <c r="F11" s="62" t="s">
        <v>293</v>
      </c>
      <c r="G11" s="62" t="s">
        <v>294</v>
      </c>
      <c r="H11" s="62" t="s">
        <v>295</v>
      </c>
      <c r="I11" s="61"/>
      <c r="J11" s="62" t="s">
        <v>296</v>
      </c>
      <c r="K11" s="62" t="s">
        <v>297</v>
      </c>
      <c r="L11" s="62" t="s">
        <v>298</v>
      </c>
      <c r="M11" s="62" t="s">
        <v>299</v>
      </c>
      <c r="N11" s="63" t="s">
        <v>300</v>
      </c>
      <c r="O11" s="60" t="s">
        <v>301</v>
      </c>
      <c r="P11" s="62" t="s">
        <v>302</v>
      </c>
      <c r="Q11" s="62" t="s">
        <v>303</v>
      </c>
      <c r="R11" s="62" t="s">
        <v>304</v>
      </c>
      <c r="S11" s="62" t="s">
        <v>305</v>
      </c>
      <c r="T11" s="62" t="s">
        <v>306</v>
      </c>
      <c r="U11" s="62" t="s">
        <v>307</v>
      </c>
      <c r="V11" s="62" t="s">
        <v>308</v>
      </c>
      <c r="W11" s="62" t="s">
        <v>309</v>
      </c>
      <c r="X11" s="62" t="s">
        <v>310</v>
      </c>
      <c r="Y11" s="62" t="s">
        <v>311</v>
      </c>
      <c r="Z11" s="63" t="s">
        <v>312</v>
      </c>
      <c r="AA11" s="60" t="s">
        <v>313</v>
      </c>
      <c r="AB11" s="62" t="s">
        <v>314</v>
      </c>
      <c r="AC11" s="62" t="s">
        <v>315</v>
      </c>
      <c r="AD11" s="62" t="s">
        <v>316</v>
      </c>
      <c r="AE11" s="62" t="s">
        <v>317</v>
      </c>
      <c r="AF11" s="62" t="s">
        <v>318</v>
      </c>
      <c r="AG11" s="62" t="s">
        <v>319</v>
      </c>
      <c r="AH11" s="63" t="s">
        <v>320</v>
      </c>
      <c r="AI11" s="60" t="s">
        <v>321</v>
      </c>
      <c r="AJ11" s="62" t="s">
        <v>322</v>
      </c>
      <c r="AK11" s="62" t="s">
        <v>323</v>
      </c>
      <c r="AL11" s="62" t="s">
        <v>324</v>
      </c>
      <c r="AM11" s="62" t="s">
        <v>325</v>
      </c>
      <c r="AN11" s="62" t="s">
        <v>326</v>
      </c>
      <c r="AO11" s="62" t="s">
        <v>327</v>
      </c>
      <c r="AP11" s="62" t="s">
        <v>328</v>
      </c>
      <c r="AQ11" s="63" t="s">
        <v>329</v>
      </c>
      <c r="AR11" s="60" t="s">
        <v>330</v>
      </c>
      <c r="AS11" s="62" t="s">
        <v>331</v>
      </c>
      <c r="AT11" s="62" t="s">
        <v>332</v>
      </c>
      <c r="AU11" s="62" t="s">
        <v>333</v>
      </c>
      <c r="AV11" s="62" t="s">
        <v>334</v>
      </c>
      <c r="AW11" s="63" t="s">
        <v>335</v>
      </c>
      <c r="AX11" s="60" t="s">
        <v>336</v>
      </c>
      <c r="AY11" s="63" t="s">
        <v>337</v>
      </c>
      <c r="AZ11" s="57" t="n">
        <v>35</v>
      </c>
      <c r="BA11" s="9"/>
      <c r="BB11" s="70"/>
    </row>
    <row r="12" customFormat="false" ht="18" hidden="false" customHeight="true" outlineLevel="0" collapsed="false">
      <c r="A12" s="50"/>
      <c r="B12" s="64" t="n">
        <v>7</v>
      </c>
      <c r="C12" s="65" t="s">
        <v>12</v>
      </c>
      <c r="D12" s="66" t="s">
        <v>338</v>
      </c>
      <c r="E12" s="67" t="s">
        <v>339</v>
      </c>
      <c r="F12" s="68" t="s">
        <v>340</v>
      </c>
      <c r="G12" s="67" t="s">
        <v>341</v>
      </c>
      <c r="H12" s="68" t="s">
        <v>342</v>
      </c>
      <c r="I12" s="67" t="s">
        <v>343</v>
      </c>
      <c r="J12" s="61"/>
      <c r="K12" s="67" t="s">
        <v>344</v>
      </c>
      <c r="L12" s="68" t="s">
        <v>345</v>
      </c>
      <c r="M12" s="67" t="s">
        <v>346</v>
      </c>
      <c r="N12" s="69" t="s">
        <v>347</v>
      </c>
      <c r="O12" s="66" t="s">
        <v>348</v>
      </c>
      <c r="P12" s="68" t="s">
        <v>349</v>
      </c>
      <c r="Q12" s="68" t="s">
        <v>350</v>
      </c>
      <c r="R12" s="68" t="s">
        <v>351</v>
      </c>
      <c r="S12" s="68" t="s">
        <v>352</v>
      </c>
      <c r="T12" s="68" t="s">
        <v>353</v>
      </c>
      <c r="U12" s="68" t="s">
        <v>354</v>
      </c>
      <c r="V12" s="68" t="s">
        <v>355</v>
      </c>
      <c r="W12" s="68" t="s">
        <v>356</v>
      </c>
      <c r="X12" s="68" t="s">
        <v>357</v>
      </c>
      <c r="Y12" s="68" t="s">
        <v>358</v>
      </c>
      <c r="Z12" s="69" t="s">
        <v>359</v>
      </c>
      <c r="AA12" s="66" t="s">
        <v>360</v>
      </c>
      <c r="AB12" s="68" t="s">
        <v>361</v>
      </c>
      <c r="AC12" s="68" t="s">
        <v>362</v>
      </c>
      <c r="AD12" s="68" t="s">
        <v>363</v>
      </c>
      <c r="AE12" s="68" t="s">
        <v>364</v>
      </c>
      <c r="AF12" s="68" t="s">
        <v>365</v>
      </c>
      <c r="AG12" s="68" t="s">
        <v>366</v>
      </c>
      <c r="AH12" s="69" t="s">
        <v>367</v>
      </c>
      <c r="AI12" s="66" t="s">
        <v>368</v>
      </c>
      <c r="AJ12" s="68" t="s">
        <v>369</v>
      </c>
      <c r="AK12" s="68" t="s">
        <v>370</v>
      </c>
      <c r="AL12" s="68" t="s">
        <v>371</v>
      </c>
      <c r="AM12" s="68" t="s">
        <v>372</v>
      </c>
      <c r="AN12" s="68" t="s">
        <v>373</v>
      </c>
      <c r="AO12" s="68" t="s">
        <v>374</v>
      </c>
      <c r="AP12" s="68" t="s">
        <v>375</v>
      </c>
      <c r="AQ12" s="69" t="s">
        <v>376</v>
      </c>
      <c r="AR12" s="66" t="s">
        <v>377</v>
      </c>
      <c r="AS12" s="68" t="s">
        <v>378</v>
      </c>
      <c r="AT12" s="68" t="s">
        <v>379</v>
      </c>
      <c r="AU12" s="68" t="s">
        <v>380</v>
      </c>
      <c r="AV12" s="68" t="s">
        <v>381</v>
      </c>
      <c r="AW12" s="69" t="s">
        <v>382</v>
      </c>
      <c r="AX12" s="66" t="s">
        <v>383</v>
      </c>
      <c r="AY12" s="69" t="s">
        <v>384</v>
      </c>
      <c r="AZ12" s="57" t="n">
        <v>33</v>
      </c>
      <c r="BA12" s="2"/>
      <c r="BB12" s="71" t="s">
        <v>385</v>
      </c>
      <c r="BC12" s="72"/>
      <c r="BD12" s="72"/>
    </row>
    <row r="13" customFormat="false" ht="18" hidden="false" customHeight="true" outlineLevel="0" collapsed="false">
      <c r="A13" s="50"/>
      <c r="B13" s="60" t="n">
        <v>8</v>
      </c>
      <c r="C13" s="59" t="s">
        <v>13</v>
      </c>
      <c r="D13" s="60" t="s">
        <v>386</v>
      </c>
      <c r="E13" s="62" t="s">
        <v>387</v>
      </c>
      <c r="F13" s="62" t="s">
        <v>388</v>
      </c>
      <c r="G13" s="62" t="s">
        <v>389</v>
      </c>
      <c r="H13" s="62" t="s">
        <v>390</v>
      </c>
      <c r="I13" s="62" t="s">
        <v>391</v>
      </c>
      <c r="J13" s="62" t="s">
        <v>392</v>
      </c>
      <c r="K13" s="61"/>
      <c r="L13" s="62" t="s">
        <v>393</v>
      </c>
      <c r="M13" s="62" t="s">
        <v>394</v>
      </c>
      <c r="N13" s="63" t="s">
        <v>395</v>
      </c>
      <c r="O13" s="60" t="s">
        <v>396</v>
      </c>
      <c r="P13" s="62" t="s">
        <v>397</v>
      </c>
      <c r="Q13" s="62" t="s">
        <v>398</v>
      </c>
      <c r="R13" s="62" t="s">
        <v>399</v>
      </c>
      <c r="S13" s="62" t="s">
        <v>400</v>
      </c>
      <c r="T13" s="62" t="s">
        <v>401</v>
      </c>
      <c r="U13" s="62" t="s">
        <v>402</v>
      </c>
      <c r="V13" s="62" t="s">
        <v>403</v>
      </c>
      <c r="W13" s="62" t="s">
        <v>404</v>
      </c>
      <c r="X13" s="62" t="s">
        <v>405</v>
      </c>
      <c r="Y13" s="62" t="s">
        <v>406</v>
      </c>
      <c r="Z13" s="63" t="s">
        <v>407</v>
      </c>
      <c r="AA13" s="60" t="s">
        <v>408</v>
      </c>
      <c r="AB13" s="62" t="s">
        <v>409</v>
      </c>
      <c r="AC13" s="62" t="s">
        <v>410</v>
      </c>
      <c r="AD13" s="62" t="s">
        <v>411</v>
      </c>
      <c r="AE13" s="62" t="s">
        <v>412</v>
      </c>
      <c r="AF13" s="62" t="s">
        <v>413</v>
      </c>
      <c r="AG13" s="62" t="s">
        <v>414</v>
      </c>
      <c r="AH13" s="63" t="s">
        <v>415</v>
      </c>
      <c r="AI13" s="60" t="s">
        <v>416</v>
      </c>
      <c r="AJ13" s="62" t="s">
        <v>417</v>
      </c>
      <c r="AK13" s="62" t="s">
        <v>418</v>
      </c>
      <c r="AL13" s="62" t="s">
        <v>419</v>
      </c>
      <c r="AM13" s="62" t="s">
        <v>420</v>
      </c>
      <c r="AN13" s="62" t="s">
        <v>421</v>
      </c>
      <c r="AO13" s="62" t="s">
        <v>422</v>
      </c>
      <c r="AP13" s="62" t="s">
        <v>423</v>
      </c>
      <c r="AQ13" s="63" t="s">
        <v>424</v>
      </c>
      <c r="AR13" s="60" t="s">
        <v>425</v>
      </c>
      <c r="AS13" s="62" t="s">
        <v>426</v>
      </c>
      <c r="AT13" s="62" t="s">
        <v>427</v>
      </c>
      <c r="AU13" s="62" t="s">
        <v>428</v>
      </c>
      <c r="AV13" s="62" t="s">
        <v>429</v>
      </c>
      <c r="AW13" s="63" t="s">
        <v>430</v>
      </c>
      <c r="AX13" s="60" t="s">
        <v>431</v>
      </c>
      <c r="AY13" s="63" t="s">
        <v>432</v>
      </c>
      <c r="AZ13" s="57" t="n">
        <v>57</v>
      </c>
      <c r="BA13" s="73" t="s">
        <v>433</v>
      </c>
      <c r="BB13" s="73"/>
      <c r="BC13" s="72"/>
      <c r="BD13" s="72"/>
    </row>
    <row r="14" customFormat="false" ht="18" hidden="false" customHeight="true" outlineLevel="0" collapsed="false">
      <c r="A14" s="50"/>
      <c r="B14" s="64" t="n">
        <v>9</v>
      </c>
      <c r="C14" s="65" t="s">
        <v>14</v>
      </c>
      <c r="D14" s="66" t="s">
        <v>434</v>
      </c>
      <c r="E14" s="67" t="s">
        <v>435</v>
      </c>
      <c r="F14" s="68" t="s">
        <v>436</v>
      </c>
      <c r="G14" s="67" t="s">
        <v>437</v>
      </c>
      <c r="H14" s="68" t="s">
        <v>438</v>
      </c>
      <c r="I14" s="67" t="s">
        <v>439</v>
      </c>
      <c r="J14" s="68" t="s">
        <v>440</v>
      </c>
      <c r="K14" s="67" t="s">
        <v>441</v>
      </c>
      <c r="L14" s="61"/>
      <c r="M14" s="67" t="s">
        <v>442</v>
      </c>
      <c r="N14" s="69" t="s">
        <v>443</v>
      </c>
      <c r="O14" s="66" t="s">
        <v>444</v>
      </c>
      <c r="P14" s="68" t="s">
        <v>445</v>
      </c>
      <c r="Q14" s="68" t="s">
        <v>446</v>
      </c>
      <c r="R14" s="68" t="s">
        <v>447</v>
      </c>
      <c r="S14" s="68" t="s">
        <v>448</v>
      </c>
      <c r="T14" s="68" t="s">
        <v>449</v>
      </c>
      <c r="U14" s="68" t="s">
        <v>450</v>
      </c>
      <c r="V14" s="68" t="s">
        <v>451</v>
      </c>
      <c r="W14" s="68" t="s">
        <v>452</v>
      </c>
      <c r="X14" s="68" t="s">
        <v>453</v>
      </c>
      <c r="Y14" s="68" t="s">
        <v>454</v>
      </c>
      <c r="Z14" s="69" t="s">
        <v>455</v>
      </c>
      <c r="AA14" s="66" t="s">
        <v>456</v>
      </c>
      <c r="AB14" s="68" t="s">
        <v>457</v>
      </c>
      <c r="AC14" s="68" t="s">
        <v>458</v>
      </c>
      <c r="AD14" s="68" t="s">
        <v>459</v>
      </c>
      <c r="AE14" s="68" t="s">
        <v>460</v>
      </c>
      <c r="AF14" s="68" t="s">
        <v>461</v>
      </c>
      <c r="AG14" s="68" t="s">
        <v>462</v>
      </c>
      <c r="AH14" s="69" t="s">
        <v>463</v>
      </c>
      <c r="AI14" s="66" t="s">
        <v>464</v>
      </c>
      <c r="AJ14" s="68" t="s">
        <v>465</v>
      </c>
      <c r="AK14" s="68" t="s">
        <v>466</v>
      </c>
      <c r="AL14" s="68" t="s">
        <v>467</v>
      </c>
      <c r="AM14" s="68" t="s">
        <v>468</v>
      </c>
      <c r="AN14" s="68" t="s">
        <v>469</v>
      </c>
      <c r="AO14" s="68" t="s">
        <v>470</v>
      </c>
      <c r="AP14" s="68" t="s">
        <v>471</v>
      </c>
      <c r="AQ14" s="69" t="s">
        <v>472</v>
      </c>
      <c r="AR14" s="66" t="s">
        <v>473</v>
      </c>
      <c r="AS14" s="68" t="s">
        <v>474</v>
      </c>
      <c r="AT14" s="68" t="s">
        <v>475</v>
      </c>
      <c r="AU14" s="68" t="s">
        <v>476</v>
      </c>
      <c r="AV14" s="68" t="s">
        <v>477</v>
      </c>
      <c r="AW14" s="69" t="s">
        <v>478</v>
      </c>
      <c r="AX14" s="66" t="s">
        <v>479</v>
      </c>
      <c r="AY14" s="69" t="s">
        <v>480</v>
      </c>
      <c r="AZ14" s="57" t="n">
        <v>31</v>
      </c>
      <c r="BA14" s="74" t="n">
        <v>1</v>
      </c>
      <c r="BB14" s="75" t="s">
        <v>481</v>
      </c>
      <c r="BC14" s="76" t="n">
        <v>1</v>
      </c>
      <c r="BD14" s="76" t="n">
        <f aca="false">_xlfn.RANK.EQ(BC14,$BC$14:$BC$53,0)</f>
        <v>2</v>
      </c>
    </row>
    <row r="15" customFormat="false" ht="18" hidden="false" customHeight="true" outlineLevel="0" collapsed="false">
      <c r="A15" s="50"/>
      <c r="B15" s="60" t="n">
        <v>10</v>
      </c>
      <c r="C15" s="59" t="s">
        <v>15</v>
      </c>
      <c r="D15" s="60" t="s">
        <v>482</v>
      </c>
      <c r="E15" s="62" t="s">
        <v>483</v>
      </c>
      <c r="F15" s="62" t="s">
        <v>484</v>
      </c>
      <c r="G15" s="62" t="s">
        <v>485</v>
      </c>
      <c r="H15" s="62" t="s">
        <v>486</v>
      </c>
      <c r="I15" s="62" t="s">
        <v>487</v>
      </c>
      <c r="J15" s="62" t="s">
        <v>488</v>
      </c>
      <c r="K15" s="62" t="s">
        <v>489</v>
      </c>
      <c r="L15" s="62" t="s">
        <v>490</v>
      </c>
      <c r="M15" s="61"/>
      <c r="N15" s="63" t="s">
        <v>491</v>
      </c>
      <c r="O15" s="60" t="s">
        <v>492</v>
      </c>
      <c r="P15" s="62" t="s">
        <v>493</v>
      </c>
      <c r="Q15" s="62" t="s">
        <v>494</v>
      </c>
      <c r="R15" s="62" t="s">
        <v>495</v>
      </c>
      <c r="S15" s="62" t="s">
        <v>496</v>
      </c>
      <c r="T15" s="62" t="s">
        <v>497</v>
      </c>
      <c r="U15" s="62" t="s">
        <v>498</v>
      </c>
      <c r="V15" s="62" t="s">
        <v>499</v>
      </c>
      <c r="W15" s="62" t="s">
        <v>500</v>
      </c>
      <c r="X15" s="62" t="s">
        <v>501</v>
      </c>
      <c r="Y15" s="62" t="s">
        <v>502</v>
      </c>
      <c r="Z15" s="63" t="s">
        <v>503</v>
      </c>
      <c r="AA15" s="60" t="s">
        <v>504</v>
      </c>
      <c r="AB15" s="62" t="s">
        <v>505</v>
      </c>
      <c r="AC15" s="62" t="s">
        <v>506</v>
      </c>
      <c r="AD15" s="62" t="s">
        <v>507</v>
      </c>
      <c r="AE15" s="62" t="s">
        <v>508</v>
      </c>
      <c r="AF15" s="62" t="s">
        <v>509</v>
      </c>
      <c r="AG15" s="62" t="s">
        <v>510</v>
      </c>
      <c r="AH15" s="63" t="s">
        <v>511</v>
      </c>
      <c r="AI15" s="60" t="s">
        <v>512</v>
      </c>
      <c r="AJ15" s="62" t="s">
        <v>513</v>
      </c>
      <c r="AK15" s="62" t="s">
        <v>514</v>
      </c>
      <c r="AL15" s="62" t="s">
        <v>515</v>
      </c>
      <c r="AM15" s="62" t="s">
        <v>516</v>
      </c>
      <c r="AN15" s="62" t="s">
        <v>517</v>
      </c>
      <c r="AO15" s="62" t="s">
        <v>518</v>
      </c>
      <c r="AP15" s="62" t="s">
        <v>519</v>
      </c>
      <c r="AQ15" s="63" t="s">
        <v>520</v>
      </c>
      <c r="AR15" s="60" t="s">
        <v>521</v>
      </c>
      <c r="AS15" s="62" t="s">
        <v>522</v>
      </c>
      <c r="AT15" s="62" t="s">
        <v>523</v>
      </c>
      <c r="AU15" s="62" t="s">
        <v>524</v>
      </c>
      <c r="AV15" s="62" t="s">
        <v>525</v>
      </c>
      <c r="AW15" s="63" t="s">
        <v>526</v>
      </c>
      <c r="AX15" s="60" t="s">
        <v>527</v>
      </c>
      <c r="AY15" s="63" t="s">
        <v>528</v>
      </c>
      <c r="AZ15" s="57" t="n">
        <v>15</v>
      </c>
      <c r="BA15" s="74" t="n">
        <v>2</v>
      </c>
      <c r="BB15" s="77" t="s">
        <v>529</v>
      </c>
      <c r="BC15" s="76" t="n">
        <v>0</v>
      </c>
      <c r="BD15" s="76" t="n">
        <f aca="false">_xlfn.RANK.EQ(BC15,$BC$14:$BC$53,0)</f>
        <v>10</v>
      </c>
    </row>
    <row r="16" customFormat="false" ht="18" hidden="false" customHeight="true" outlineLevel="0" collapsed="false">
      <c r="A16" s="50"/>
      <c r="B16" s="78" t="n">
        <v>11</v>
      </c>
      <c r="C16" s="79" t="s">
        <v>530</v>
      </c>
      <c r="D16" s="80" t="s">
        <v>531</v>
      </c>
      <c r="E16" s="81" t="s">
        <v>532</v>
      </c>
      <c r="F16" s="82" t="s">
        <v>533</v>
      </c>
      <c r="G16" s="81" t="s">
        <v>534</v>
      </c>
      <c r="H16" s="82" t="s">
        <v>535</v>
      </c>
      <c r="I16" s="81" t="s">
        <v>536</v>
      </c>
      <c r="J16" s="82" t="s">
        <v>537</v>
      </c>
      <c r="K16" s="81" t="s">
        <v>538</v>
      </c>
      <c r="L16" s="81" t="s">
        <v>539</v>
      </c>
      <c r="M16" s="81" t="s">
        <v>540</v>
      </c>
      <c r="N16" s="83"/>
      <c r="O16" s="84" t="s">
        <v>541</v>
      </c>
      <c r="P16" s="85" t="s">
        <v>542</v>
      </c>
      <c r="Q16" s="85" t="s">
        <v>543</v>
      </c>
      <c r="R16" s="85" t="s">
        <v>544</v>
      </c>
      <c r="S16" s="85" t="s">
        <v>545</v>
      </c>
      <c r="T16" s="85" t="s">
        <v>546</v>
      </c>
      <c r="U16" s="85" t="s">
        <v>547</v>
      </c>
      <c r="V16" s="85" t="s">
        <v>548</v>
      </c>
      <c r="W16" s="85" t="s">
        <v>549</v>
      </c>
      <c r="X16" s="85" t="s">
        <v>550</v>
      </c>
      <c r="Y16" s="85" t="s">
        <v>551</v>
      </c>
      <c r="Z16" s="86" t="s">
        <v>552</v>
      </c>
      <c r="AA16" s="84" t="s">
        <v>553</v>
      </c>
      <c r="AB16" s="85" t="s">
        <v>554</v>
      </c>
      <c r="AC16" s="85" t="s">
        <v>555</v>
      </c>
      <c r="AD16" s="85" t="s">
        <v>556</v>
      </c>
      <c r="AE16" s="85" t="s">
        <v>557</v>
      </c>
      <c r="AF16" s="85" t="s">
        <v>558</v>
      </c>
      <c r="AG16" s="85" t="s">
        <v>559</v>
      </c>
      <c r="AH16" s="86" t="s">
        <v>560</v>
      </c>
      <c r="AI16" s="84" t="s">
        <v>561</v>
      </c>
      <c r="AJ16" s="85" t="s">
        <v>562</v>
      </c>
      <c r="AK16" s="85" t="s">
        <v>563</v>
      </c>
      <c r="AL16" s="85" t="s">
        <v>564</v>
      </c>
      <c r="AM16" s="85" t="s">
        <v>565</v>
      </c>
      <c r="AN16" s="85" t="s">
        <v>566</v>
      </c>
      <c r="AO16" s="85" t="s">
        <v>567</v>
      </c>
      <c r="AP16" s="85" t="s">
        <v>568</v>
      </c>
      <c r="AQ16" s="86" t="s">
        <v>569</v>
      </c>
      <c r="AR16" s="84" t="s">
        <v>570</v>
      </c>
      <c r="AS16" s="85" t="s">
        <v>571</v>
      </c>
      <c r="AT16" s="85" t="s">
        <v>572</v>
      </c>
      <c r="AU16" s="85" t="s">
        <v>573</v>
      </c>
      <c r="AV16" s="85" t="s">
        <v>574</v>
      </c>
      <c r="AW16" s="86" t="s">
        <v>575</v>
      </c>
      <c r="AX16" s="84" t="s">
        <v>576</v>
      </c>
      <c r="AY16" s="86" t="s">
        <v>577</v>
      </c>
      <c r="AZ16" s="57" t="n">
        <v>153</v>
      </c>
      <c r="BA16" s="74" t="n">
        <v>3</v>
      </c>
      <c r="BB16" s="75" t="s">
        <v>578</v>
      </c>
      <c r="BC16" s="76" t="n">
        <v>1</v>
      </c>
      <c r="BD16" s="76" t="n">
        <f aca="false">_xlfn.RANK.EQ(BC16,$BC$14:$BC$53,0)</f>
        <v>2</v>
      </c>
    </row>
    <row r="17" customFormat="false" ht="18" hidden="false" customHeight="true" outlineLevel="0" collapsed="false">
      <c r="A17" s="87" t="s">
        <v>1</v>
      </c>
      <c r="B17" s="88" t="n">
        <v>12</v>
      </c>
      <c r="C17" s="89" t="s">
        <v>579</v>
      </c>
      <c r="D17" s="88" t="s">
        <v>580</v>
      </c>
      <c r="E17" s="90" t="s">
        <v>581</v>
      </c>
      <c r="F17" s="90" t="s">
        <v>582</v>
      </c>
      <c r="G17" s="90" t="s">
        <v>583</v>
      </c>
      <c r="H17" s="90" t="s">
        <v>584</v>
      </c>
      <c r="I17" s="90" t="s">
        <v>585</v>
      </c>
      <c r="J17" s="90" t="s">
        <v>586</v>
      </c>
      <c r="K17" s="90" t="s">
        <v>587</v>
      </c>
      <c r="L17" s="90" t="s">
        <v>588</v>
      </c>
      <c r="M17" s="90" t="s">
        <v>589</v>
      </c>
      <c r="N17" s="91" t="s">
        <v>590</v>
      </c>
      <c r="O17" s="53"/>
      <c r="P17" s="90" t="s">
        <v>591</v>
      </c>
      <c r="Q17" s="90" t="s">
        <v>592</v>
      </c>
      <c r="R17" s="90" t="s">
        <v>593</v>
      </c>
      <c r="S17" s="90" t="s">
        <v>594</v>
      </c>
      <c r="T17" s="90" t="s">
        <v>595</v>
      </c>
      <c r="U17" s="90" t="s">
        <v>596</v>
      </c>
      <c r="V17" s="90" t="s">
        <v>597</v>
      </c>
      <c r="W17" s="90" t="s">
        <v>598</v>
      </c>
      <c r="X17" s="90" t="s">
        <v>599</v>
      </c>
      <c r="Y17" s="90" t="s">
        <v>600</v>
      </c>
      <c r="Z17" s="91" t="s">
        <v>601</v>
      </c>
      <c r="AA17" s="88" t="s">
        <v>602</v>
      </c>
      <c r="AB17" s="90" t="s">
        <v>603</v>
      </c>
      <c r="AC17" s="90" t="s">
        <v>604</v>
      </c>
      <c r="AD17" s="90" t="s">
        <v>605</v>
      </c>
      <c r="AE17" s="90" t="s">
        <v>606</v>
      </c>
      <c r="AF17" s="90" t="s">
        <v>607</v>
      </c>
      <c r="AG17" s="90" t="s">
        <v>608</v>
      </c>
      <c r="AH17" s="91" t="s">
        <v>609</v>
      </c>
      <c r="AI17" s="88" t="s">
        <v>610</v>
      </c>
      <c r="AJ17" s="90" t="s">
        <v>611</v>
      </c>
      <c r="AK17" s="90" t="s">
        <v>612</v>
      </c>
      <c r="AL17" s="90" t="s">
        <v>613</v>
      </c>
      <c r="AM17" s="90" t="s">
        <v>614</v>
      </c>
      <c r="AN17" s="90" t="s">
        <v>615</v>
      </c>
      <c r="AO17" s="90" t="s">
        <v>616</v>
      </c>
      <c r="AP17" s="90" t="s">
        <v>617</v>
      </c>
      <c r="AQ17" s="91" t="s">
        <v>618</v>
      </c>
      <c r="AR17" s="88" t="s">
        <v>619</v>
      </c>
      <c r="AS17" s="90" t="s">
        <v>620</v>
      </c>
      <c r="AT17" s="90" t="s">
        <v>621</v>
      </c>
      <c r="AU17" s="90" t="s">
        <v>622</v>
      </c>
      <c r="AV17" s="90" t="s">
        <v>623</v>
      </c>
      <c r="AW17" s="91" t="s">
        <v>624</v>
      </c>
      <c r="AX17" s="88" t="s">
        <v>625</v>
      </c>
      <c r="AY17" s="91" t="s">
        <v>626</v>
      </c>
      <c r="AZ17" s="57" t="n">
        <v>44</v>
      </c>
      <c r="BA17" s="74" t="n">
        <v>4</v>
      </c>
      <c r="BB17" s="77" t="s">
        <v>627</v>
      </c>
      <c r="BC17" s="76" t="n">
        <v>0</v>
      </c>
      <c r="BD17" s="76" t="n">
        <f aca="false">_xlfn.RANK.EQ(BC17,$BC$14:$BC$53,0)</f>
        <v>10</v>
      </c>
    </row>
    <row r="18" customFormat="false" ht="18" hidden="false" customHeight="true" outlineLevel="0" collapsed="false">
      <c r="A18" s="87"/>
      <c r="B18" s="64" t="n">
        <v>13</v>
      </c>
      <c r="C18" s="65" t="s">
        <v>628</v>
      </c>
      <c r="D18" s="66" t="s">
        <v>629</v>
      </c>
      <c r="E18" s="67" t="s">
        <v>630</v>
      </c>
      <c r="F18" s="68" t="s">
        <v>631</v>
      </c>
      <c r="G18" s="67" t="s">
        <v>632</v>
      </c>
      <c r="H18" s="67" t="s">
        <v>633</v>
      </c>
      <c r="I18" s="68" t="s">
        <v>634</v>
      </c>
      <c r="J18" s="68" t="s">
        <v>635</v>
      </c>
      <c r="K18" s="68" t="s">
        <v>636</v>
      </c>
      <c r="L18" s="68" t="s">
        <v>637</v>
      </c>
      <c r="M18" s="68" t="s">
        <v>638</v>
      </c>
      <c r="N18" s="92" t="s">
        <v>639</v>
      </c>
      <c r="O18" s="64" t="s">
        <v>640</v>
      </c>
      <c r="P18" s="61"/>
      <c r="Q18" s="68" t="s">
        <v>641</v>
      </c>
      <c r="R18" s="68" t="s">
        <v>642</v>
      </c>
      <c r="S18" s="68" t="s">
        <v>643</v>
      </c>
      <c r="T18" s="68" t="s">
        <v>644</v>
      </c>
      <c r="U18" s="68" t="s">
        <v>645</v>
      </c>
      <c r="V18" s="68" t="s">
        <v>646</v>
      </c>
      <c r="W18" s="68" t="s">
        <v>647</v>
      </c>
      <c r="X18" s="68" t="s">
        <v>648</v>
      </c>
      <c r="Y18" s="68" t="s">
        <v>649</v>
      </c>
      <c r="Z18" s="69" t="s">
        <v>650</v>
      </c>
      <c r="AA18" s="66" t="s">
        <v>651</v>
      </c>
      <c r="AB18" s="68" t="s">
        <v>652</v>
      </c>
      <c r="AC18" s="68" t="s">
        <v>653</v>
      </c>
      <c r="AD18" s="68" t="s">
        <v>654</v>
      </c>
      <c r="AE18" s="68" t="s">
        <v>655</v>
      </c>
      <c r="AF18" s="68" t="s">
        <v>656</v>
      </c>
      <c r="AG18" s="68" t="s">
        <v>657</v>
      </c>
      <c r="AH18" s="69" t="s">
        <v>658</v>
      </c>
      <c r="AI18" s="66" t="s">
        <v>659</v>
      </c>
      <c r="AJ18" s="68" t="s">
        <v>660</v>
      </c>
      <c r="AK18" s="68" t="s">
        <v>661</v>
      </c>
      <c r="AL18" s="68" t="s">
        <v>662</v>
      </c>
      <c r="AM18" s="68" t="s">
        <v>663</v>
      </c>
      <c r="AN18" s="68" t="s">
        <v>664</v>
      </c>
      <c r="AO18" s="68" t="s">
        <v>665</v>
      </c>
      <c r="AP18" s="68" t="s">
        <v>666</v>
      </c>
      <c r="AQ18" s="69" t="s">
        <v>667</v>
      </c>
      <c r="AR18" s="66" t="s">
        <v>668</v>
      </c>
      <c r="AS18" s="68" t="s">
        <v>669</v>
      </c>
      <c r="AT18" s="68" t="s">
        <v>670</v>
      </c>
      <c r="AU18" s="68" t="s">
        <v>671</v>
      </c>
      <c r="AV18" s="68" t="s">
        <v>672</v>
      </c>
      <c r="AW18" s="69" t="s">
        <v>673</v>
      </c>
      <c r="AX18" s="66" t="s">
        <v>674</v>
      </c>
      <c r="AY18" s="69" t="s">
        <v>675</v>
      </c>
      <c r="AZ18" s="57" t="n">
        <v>20</v>
      </c>
      <c r="BA18" s="74" t="n">
        <v>5</v>
      </c>
      <c r="BB18" s="77" t="s">
        <v>676</v>
      </c>
      <c r="BC18" s="76" t="n">
        <v>0</v>
      </c>
      <c r="BD18" s="76" t="n">
        <f aca="false">_xlfn.RANK.EQ(BC18,$BC$14:$BC$53,0)</f>
        <v>10</v>
      </c>
    </row>
    <row r="19" customFormat="false" ht="18" hidden="false" customHeight="true" outlineLevel="0" collapsed="false">
      <c r="A19" s="87"/>
      <c r="B19" s="60" t="n">
        <v>14</v>
      </c>
      <c r="C19" s="59" t="s">
        <v>19</v>
      </c>
      <c r="D19" s="60" t="s">
        <v>677</v>
      </c>
      <c r="E19" s="62" t="s">
        <v>678</v>
      </c>
      <c r="F19" s="62" t="s">
        <v>679</v>
      </c>
      <c r="G19" s="62" t="s">
        <v>680</v>
      </c>
      <c r="H19" s="62" t="s">
        <v>681</v>
      </c>
      <c r="I19" s="62" t="s">
        <v>682</v>
      </c>
      <c r="J19" s="62" t="s">
        <v>683</v>
      </c>
      <c r="K19" s="62" t="s">
        <v>684</v>
      </c>
      <c r="L19" s="62" t="s">
        <v>685</v>
      </c>
      <c r="M19" s="62" t="s">
        <v>686</v>
      </c>
      <c r="N19" s="63" t="s">
        <v>687</v>
      </c>
      <c r="O19" s="60" t="s">
        <v>688</v>
      </c>
      <c r="P19" s="62" t="s">
        <v>689</v>
      </c>
      <c r="Q19" s="61"/>
      <c r="R19" s="62" t="s">
        <v>690</v>
      </c>
      <c r="S19" s="62" t="s">
        <v>691</v>
      </c>
      <c r="T19" s="62" t="s">
        <v>692</v>
      </c>
      <c r="U19" s="62" t="s">
        <v>693</v>
      </c>
      <c r="V19" s="62" t="s">
        <v>694</v>
      </c>
      <c r="W19" s="62" t="s">
        <v>695</v>
      </c>
      <c r="X19" s="62" t="s">
        <v>696</v>
      </c>
      <c r="Y19" s="62" t="s">
        <v>697</v>
      </c>
      <c r="Z19" s="63" t="s">
        <v>698</v>
      </c>
      <c r="AA19" s="60" t="s">
        <v>699</v>
      </c>
      <c r="AB19" s="62" t="s">
        <v>700</v>
      </c>
      <c r="AC19" s="62" t="s">
        <v>701</v>
      </c>
      <c r="AD19" s="62" t="s">
        <v>702</v>
      </c>
      <c r="AE19" s="62" t="s">
        <v>703</v>
      </c>
      <c r="AF19" s="62" t="s">
        <v>704</v>
      </c>
      <c r="AG19" s="62" t="s">
        <v>705</v>
      </c>
      <c r="AH19" s="63" t="s">
        <v>706</v>
      </c>
      <c r="AI19" s="60" t="s">
        <v>707</v>
      </c>
      <c r="AJ19" s="62" t="s">
        <v>708</v>
      </c>
      <c r="AK19" s="62" t="s">
        <v>709</v>
      </c>
      <c r="AL19" s="62" t="s">
        <v>710</v>
      </c>
      <c r="AM19" s="62" t="s">
        <v>711</v>
      </c>
      <c r="AN19" s="62" t="s">
        <v>712</v>
      </c>
      <c r="AO19" s="62" t="s">
        <v>713</v>
      </c>
      <c r="AP19" s="62" t="s">
        <v>714</v>
      </c>
      <c r="AQ19" s="63" t="s">
        <v>715</v>
      </c>
      <c r="AR19" s="60" t="s">
        <v>716</v>
      </c>
      <c r="AS19" s="62" t="s">
        <v>717</v>
      </c>
      <c r="AT19" s="62" t="s">
        <v>718</v>
      </c>
      <c r="AU19" s="62" t="s">
        <v>719</v>
      </c>
      <c r="AV19" s="62" t="s">
        <v>720</v>
      </c>
      <c r="AW19" s="63" t="s">
        <v>721</v>
      </c>
      <c r="AX19" s="60" t="s">
        <v>722</v>
      </c>
      <c r="AY19" s="63" t="s">
        <v>723</v>
      </c>
      <c r="AZ19" s="57" t="n">
        <v>37</v>
      </c>
      <c r="BA19" s="74" t="n">
        <v>6</v>
      </c>
      <c r="BB19" s="77" t="s">
        <v>724</v>
      </c>
      <c r="BC19" s="76" t="n">
        <v>0</v>
      </c>
      <c r="BD19" s="76" t="n">
        <f aca="false">_xlfn.RANK.EQ(BC19,$BC$14:$BC$53,0)</f>
        <v>10</v>
      </c>
    </row>
    <row r="20" customFormat="false" ht="18" hidden="false" customHeight="true" outlineLevel="0" collapsed="false">
      <c r="A20" s="87"/>
      <c r="B20" s="64" t="n">
        <v>15</v>
      </c>
      <c r="C20" s="65" t="s">
        <v>20</v>
      </c>
      <c r="D20" s="66" t="s">
        <v>725</v>
      </c>
      <c r="E20" s="67" t="s">
        <v>726</v>
      </c>
      <c r="F20" s="68" t="s">
        <v>727</v>
      </c>
      <c r="G20" s="67" t="s">
        <v>728</v>
      </c>
      <c r="H20" s="67" t="s">
        <v>729</v>
      </c>
      <c r="I20" s="68" t="s">
        <v>730</v>
      </c>
      <c r="J20" s="68" t="s">
        <v>731</v>
      </c>
      <c r="K20" s="68" t="s">
        <v>732</v>
      </c>
      <c r="L20" s="68" t="s">
        <v>733</v>
      </c>
      <c r="M20" s="68" t="s">
        <v>734</v>
      </c>
      <c r="N20" s="69" t="s">
        <v>735</v>
      </c>
      <c r="O20" s="66" t="s">
        <v>736</v>
      </c>
      <c r="P20" s="67" t="s">
        <v>737</v>
      </c>
      <c r="Q20" s="67" t="s">
        <v>738</v>
      </c>
      <c r="R20" s="61"/>
      <c r="S20" s="68" t="s">
        <v>739</v>
      </c>
      <c r="T20" s="68" t="s">
        <v>740</v>
      </c>
      <c r="U20" s="68" t="s">
        <v>741</v>
      </c>
      <c r="V20" s="68" t="s">
        <v>742</v>
      </c>
      <c r="W20" s="68" t="s">
        <v>743</v>
      </c>
      <c r="X20" s="68" t="s">
        <v>744</v>
      </c>
      <c r="Y20" s="68" t="s">
        <v>745</v>
      </c>
      <c r="Z20" s="69" t="s">
        <v>746</v>
      </c>
      <c r="AA20" s="66" t="s">
        <v>747</v>
      </c>
      <c r="AB20" s="68" t="s">
        <v>748</v>
      </c>
      <c r="AC20" s="68" t="s">
        <v>749</v>
      </c>
      <c r="AD20" s="68" t="s">
        <v>750</v>
      </c>
      <c r="AE20" s="68" t="s">
        <v>751</v>
      </c>
      <c r="AF20" s="68" t="s">
        <v>752</v>
      </c>
      <c r="AG20" s="68" t="s">
        <v>753</v>
      </c>
      <c r="AH20" s="69" t="s">
        <v>754</v>
      </c>
      <c r="AI20" s="66" t="s">
        <v>755</v>
      </c>
      <c r="AJ20" s="68" t="s">
        <v>756</v>
      </c>
      <c r="AK20" s="68" t="s">
        <v>757</v>
      </c>
      <c r="AL20" s="68" t="s">
        <v>758</v>
      </c>
      <c r="AM20" s="68" t="s">
        <v>759</v>
      </c>
      <c r="AN20" s="68" t="s">
        <v>760</v>
      </c>
      <c r="AO20" s="68" t="s">
        <v>761</v>
      </c>
      <c r="AP20" s="68" t="s">
        <v>762</v>
      </c>
      <c r="AQ20" s="69" t="s">
        <v>763</v>
      </c>
      <c r="AR20" s="66" t="s">
        <v>764</v>
      </c>
      <c r="AS20" s="68" t="s">
        <v>765</v>
      </c>
      <c r="AT20" s="68" t="s">
        <v>766</v>
      </c>
      <c r="AU20" s="68" t="s">
        <v>767</v>
      </c>
      <c r="AV20" s="68" t="s">
        <v>768</v>
      </c>
      <c r="AW20" s="69" t="s">
        <v>769</v>
      </c>
      <c r="AX20" s="66" t="s">
        <v>770</v>
      </c>
      <c r="AY20" s="69" t="s">
        <v>771</v>
      </c>
      <c r="AZ20" s="57" t="n">
        <v>10</v>
      </c>
      <c r="BA20" s="74" t="n">
        <v>7</v>
      </c>
      <c r="BB20" s="77" t="s">
        <v>772</v>
      </c>
      <c r="BC20" s="76" t="n">
        <v>0</v>
      </c>
      <c r="BD20" s="76" t="n">
        <f aca="false">_xlfn.RANK.EQ(BC20,$BC$14:$BC$53,0)</f>
        <v>10</v>
      </c>
    </row>
    <row r="21" customFormat="false" ht="18" hidden="false" customHeight="true" outlineLevel="0" collapsed="false">
      <c r="A21" s="87"/>
      <c r="B21" s="60" t="n">
        <v>16</v>
      </c>
      <c r="C21" s="59" t="s">
        <v>773</v>
      </c>
      <c r="D21" s="60" t="s">
        <v>774</v>
      </c>
      <c r="E21" s="62" t="s">
        <v>775</v>
      </c>
      <c r="F21" s="62" t="s">
        <v>776</v>
      </c>
      <c r="G21" s="62" t="s">
        <v>777</v>
      </c>
      <c r="H21" s="62" t="s">
        <v>778</v>
      </c>
      <c r="I21" s="62" t="s">
        <v>779</v>
      </c>
      <c r="J21" s="62" t="s">
        <v>780</v>
      </c>
      <c r="K21" s="62" t="s">
        <v>781</v>
      </c>
      <c r="L21" s="62" t="s">
        <v>782</v>
      </c>
      <c r="M21" s="62" t="s">
        <v>783</v>
      </c>
      <c r="N21" s="63" t="s">
        <v>784</v>
      </c>
      <c r="O21" s="60" t="s">
        <v>785</v>
      </c>
      <c r="P21" s="62" t="s">
        <v>786</v>
      </c>
      <c r="Q21" s="62" t="s">
        <v>787</v>
      </c>
      <c r="R21" s="62" t="s">
        <v>788</v>
      </c>
      <c r="S21" s="61"/>
      <c r="T21" s="62" t="s">
        <v>789</v>
      </c>
      <c r="U21" s="62" t="s">
        <v>790</v>
      </c>
      <c r="V21" s="62" t="s">
        <v>791</v>
      </c>
      <c r="W21" s="62" t="s">
        <v>792</v>
      </c>
      <c r="X21" s="62" t="s">
        <v>793</v>
      </c>
      <c r="Y21" s="62" t="s">
        <v>794</v>
      </c>
      <c r="Z21" s="63" t="s">
        <v>795</v>
      </c>
      <c r="AA21" s="60" t="s">
        <v>796</v>
      </c>
      <c r="AB21" s="62" t="s">
        <v>797</v>
      </c>
      <c r="AC21" s="62" t="s">
        <v>798</v>
      </c>
      <c r="AD21" s="62" t="s">
        <v>799</v>
      </c>
      <c r="AE21" s="62" t="s">
        <v>800</v>
      </c>
      <c r="AF21" s="62" t="s">
        <v>801</v>
      </c>
      <c r="AG21" s="62" t="s">
        <v>802</v>
      </c>
      <c r="AH21" s="63" t="s">
        <v>803</v>
      </c>
      <c r="AI21" s="60" t="s">
        <v>804</v>
      </c>
      <c r="AJ21" s="62" t="s">
        <v>805</v>
      </c>
      <c r="AK21" s="62" t="s">
        <v>806</v>
      </c>
      <c r="AL21" s="62" t="s">
        <v>807</v>
      </c>
      <c r="AM21" s="62" t="s">
        <v>808</v>
      </c>
      <c r="AN21" s="62" t="s">
        <v>809</v>
      </c>
      <c r="AO21" s="62" t="s">
        <v>810</v>
      </c>
      <c r="AP21" s="62" t="s">
        <v>811</v>
      </c>
      <c r="AQ21" s="63" t="s">
        <v>812</v>
      </c>
      <c r="AR21" s="60" t="s">
        <v>813</v>
      </c>
      <c r="AS21" s="62" t="s">
        <v>814</v>
      </c>
      <c r="AT21" s="62" t="s">
        <v>815</v>
      </c>
      <c r="AU21" s="62" t="s">
        <v>816</v>
      </c>
      <c r="AV21" s="62" t="s">
        <v>817</v>
      </c>
      <c r="AW21" s="63" t="s">
        <v>818</v>
      </c>
      <c r="AX21" s="60" t="s">
        <v>819</v>
      </c>
      <c r="AY21" s="63" t="s">
        <v>820</v>
      </c>
      <c r="AZ21" s="57" t="n">
        <v>28</v>
      </c>
      <c r="BA21" s="74" t="n">
        <v>8</v>
      </c>
      <c r="BB21" s="77" t="s">
        <v>821</v>
      </c>
      <c r="BC21" s="76" t="n">
        <v>0</v>
      </c>
      <c r="BD21" s="76" t="n">
        <f aca="false">_xlfn.RANK.EQ(BC21,$BC$14:$BC$53,0)</f>
        <v>10</v>
      </c>
    </row>
    <row r="22" customFormat="false" ht="18" hidden="false" customHeight="true" outlineLevel="0" collapsed="false">
      <c r="A22" s="87"/>
      <c r="B22" s="64" t="n">
        <v>17</v>
      </c>
      <c r="C22" s="65" t="s">
        <v>822</v>
      </c>
      <c r="D22" s="66" t="s">
        <v>823</v>
      </c>
      <c r="E22" s="67" t="s">
        <v>824</v>
      </c>
      <c r="F22" s="68" t="s">
        <v>825</v>
      </c>
      <c r="G22" s="67" t="s">
        <v>826</v>
      </c>
      <c r="H22" s="67" t="s">
        <v>827</v>
      </c>
      <c r="I22" s="68" t="s">
        <v>828</v>
      </c>
      <c r="J22" s="68" t="s">
        <v>829</v>
      </c>
      <c r="K22" s="68" t="s">
        <v>830</v>
      </c>
      <c r="L22" s="68" t="s">
        <v>831</v>
      </c>
      <c r="M22" s="68" t="s">
        <v>832</v>
      </c>
      <c r="N22" s="69" t="s">
        <v>833</v>
      </c>
      <c r="O22" s="66" t="s">
        <v>834</v>
      </c>
      <c r="P22" s="67" t="s">
        <v>835</v>
      </c>
      <c r="Q22" s="67" t="s">
        <v>836</v>
      </c>
      <c r="R22" s="67" t="s">
        <v>837</v>
      </c>
      <c r="S22" s="68" t="s">
        <v>838</v>
      </c>
      <c r="T22" s="61"/>
      <c r="U22" s="68" t="s">
        <v>839</v>
      </c>
      <c r="V22" s="68" t="s">
        <v>840</v>
      </c>
      <c r="W22" s="68" t="s">
        <v>841</v>
      </c>
      <c r="X22" s="68" t="s">
        <v>842</v>
      </c>
      <c r="Y22" s="68" t="s">
        <v>843</v>
      </c>
      <c r="Z22" s="69" t="s">
        <v>844</v>
      </c>
      <c r="AA22" s="66" t="s">
        <v>845</v>
      </c>
      <c r="AB22" s="68" t="s">
        <v>846</v>
      </c>
      <c r="AC22" s="68" t="s">
        <v>847</v>
      </c>
      <c r="AD22" s="68" t="s">
        <v>848</v>
      </c>
      <c r="AE22" s="68" t="s">
        <v>849</v>
      </c>
      <c r="AF22" s="68" t="s">
        <v>850</v>
      </c>
      <c r="AG22" s="68" t="s">
        <v>851</v>
      </c>
      <c r="AH22" s="69" t="s">
        <v>852</v>
      </c>
      <c r="AI22" s="66" t="s">
        <v>853</v>
      </c>
      <c r="AJ22" s="68" t="s">
        <v>854</v>
      </c>
      <c r="AK22" s="68" t="s">
        <v>855</v>
      </c>
      <c r="AL22" s="68" t="s">
        <v>856</v>
      </c>
      <c r="AM22" s="68" t="s">
        <v>857</v>
      </c>
      <c r="AN22" s="68" t="s">
        <v>858</v>
      </c>
      <c r="AO22" s="68" t="s">
        <v>859</v>
      </c>
      <c r="AP22" s="68" t="s">
        <v>860</v>
      </c>
      <c r="AQ22" s="69" t="s">
        <v>861</v>
      </c>
      <c r="AR22" s="66" t="s">
        <v>862</v>
      </c>
      <c r="AS22" s="68" t="s">
        <v>863</v>
      </c>
      <c r="AT22" s="68" t="s">
        <v>864</v>
      </c>
      <c r="AU22" s="68" t="s">
        <v>865</v>
      </c>
      <c r="AV22" s="68" t="s">
        <v>866</v>
      </c>
      <c r="AW22" s="69" t="s">
        <v>867</v>
      </c>
      <c r="AX22" s="66" t="s">
        <v>868</v>
      </c>
      <c r="AY22" s="69" t="s">
        <v>869</v>
      </c>
      <c r="AZ22" s="57" t="n">
        <v>24</v>
      </c>
      <c r="BA22" s="74" t="n">
        <v>9</v>
      </c>
      <c r="BB22" s="77" t="s">
        <v>870</v>
      </c>
      <c r="BC22" s="76" t="n">
        <v>0</v>
      </c>
      <c r="BD22" s="76" t="n">
        <f aca="false">_xlfn.RANK.EQ(BC22,$BC$14:$BC$53,0)</f>
        <v>10</v>
      </c>
    </row>
    <row r="23" customFormat="false" ht="18" hidden="false" customHeight="true" outlineLevel="0" collapsed="false">
      <c r="A23" s="87"/>
      <c r="B23" s="93" t="n">
        <v>18</v>
      </c>
      <c r="C23" s="94" t="s">
        <v>23</v>
      </c>
      <c r="D23" s="60" t="s">
        <v>871</v>
      </c>
      <c r="E23" s="62" t="s">
        <v>872</v>
      </c>
      <c r="F23" s="62" t="s">
        <v>873</v>
      </c>
      <c r="G23" s="62" t="s">
        <v>874</v>
      </c>
      <c r="H23" s="62" t="s">
        <v>875</v>
      </c>
      <c r="I23" s="62" t="s">
        <v>876</v>
      </c>
      <c r="J23" s="62" t="s">
        <v>877</v>
      </c>
      <c r="K23" s="62" t="s">
        <v>878</v>
      </c>
      <c r="L23" s="62" t="s">
        <v>879</v>
      </c>
      <c r="M23" s="62" t="s">
        <v>880</v>
      </c>
      <c r="N23" s="63" t="s">
        <v>881</v>
      </c>
      <c r="O23" s="60" t="s">
        <v>882</v>
      </c>
      <c r="P23" s="62" t="s">
        <v>883</v>
      </c>
      <c r="Q23" s="62" t="s">
        <v>884</v>
      </c>
      <c r="R23" s="62" t="s">
        <v>885</v>
      </c>
      <c r="S23" s="62" t="s">
        <v>886</v>
      </c>
      <c r="T23" s="62" t="s">
        <v>887</v>
      </c>
      <c r="U23" s="61"/>
      <c r="V23" s="62" t="s">
        <v>888</v>
      </c>
      <c r="W23" s="62" t="s">
        <v>889</v>
      </c>
      <c r="X23" s="95" t="s">
        <v>890</v>
      </c>
      <c r="Y23" s="62" t="s">
        <v>891</v>
      </c>
      <c r="Z23" s="63" t="s">
        <v>892</v>
      </c>
      <c r="AA23" s="60" t="s">
        <v>893</v>
      </c>
      <c r="AB23" s="62" t="s">
        <v>894</v>
      </c>
      <c r="AC23" s="62" t="s">
        <v>895</v>
      </c>
      <c r="AD23" s="62" t="s">
        <v>896</v>
      </c>
      <c r="AE23" s="62" t="s">
        <v>897</v>
      </c>
      <c r="AF23" s="62" t="s">
        <v>898</v>
      </c>
      <c r="AG23" s="62" t="s">
        <v>899</v>
      </c>
      <c r="AH23" s="63" t="s">
        <v>900</v>
      </c>
      <c r="AI23" s="60" t="s">
        <v>901</v>
      </c>
      <c r="AJ23" s="62" t="s">
        <v>902</v>
      </c>
      <c r="AK23" s="62" t="s">
        <v>903</v>
      </c>
      <c r="AL23" s="62" t="s">
        <v>904</v>
      </c>
      <c r="AM23" s="62" t="s">
        <v>905</v>
      </c>
      <c r="AN23" s="62" t="s">
        <v>906</v>
      </c>
      <c r="AO23" s="62" t="s">
        <v>907</v>
      </c>
      <c r="AP23" s="62" t="s">
        <v>908</v>
      </c>
      <c r="AQ23" s="63" t="s">
        <v>909</v>
      </c>
      <c r="AR23" s="60" t="s">
        <v>910</v>
      </c>
      <c r="AS23" s="62" t="s">
        <v>911</v>
      </c>
      <c r="AT23" s="62" t="s">
        <v>912</v>
      </c>
      <c r="AU23" s="62" t="s">
        <v>913</v>
      </c>
      <c r="AV23" s="62" t="s">
        <v>914</v>
      </c>
      <c r="AW23" s="63" t="s">
        <v>915</v>
      </c>
      <c r="AX23" s="60" t="s">
        <v>916</v>
      </c>
      <c r="AY23" s="63" t="s">
        <v>917</v>
      </c>
      <c r="AZ23" s="57" t="n">
        <v>3</v>
      </c>
      <c r="BA23" s="74" t="n">
        <v>10</v>
      </c>
      <c r="BB23" s="75" t="s">
        <v>918</v>
      </c>
      <c r="BC23" s="76" t="n">
        <v>1</v>
      </c>
      <c r="BD23" s="76" t="n">
        <f aca="false">_xlfn.RANK.EQ(BC23,$BC$14:$BC$53,0)</f>
        <v>2</v>
      </c>
    </row>
    <row r="24" customFormat="false" ht="18" hidden="false" customHeight="true" outlineLevel="0" collapsed="false">
      <c r="A24" s="87"/>
      <c r="B24" s="64" t="n">
        <v>19</v>
      </c>
      <c r="C24" s="65" t="s">
        <v>24</v>
      </c>
      <c r="D24" s="66" t="s">
        <v>919</v>
      </c>
      <c r="E24" s="67" t="s">
        <v>920</v>
      </c>
      <c r="F24" s="68" t="s">
        <v>921</v>
      </c>
      <c r="G24" s="67" t="s">
        <v>922</v>
      </c>
      <c r="H24" s="67" t="s">
        <v>923</v>
      </c>
      <c r="I24" s="68" t="s">
        <v>924</v>
      </c>
      <c r="J24" s="68" t="s">
        <v>925</v>
      </c>
      <c r="K24" s="68" t="s">
        <v>926</v>
      </c>
      <c r="L24" s="68" t="s">
        <v>927</v>
      </c>
      <c r="M24" s="68" t="s">
        <v>928</v>
      </c>
      <c r="N24" s="69" t="s">
        <v>929</v>
      </c>
      <c r="O24" s="66" t="s">
        <v>930</v>
      </c>
      <c r="P24" s="68" t="s">
        <v>931</v>
      </c>
      <c r="Q24" s="68" t="s">
        <v>932</v>
      </c>
      <c r="R24" s="68" t="s">
        <v>933</v>
      </c>
      <c r="S24" s="68" t="s">
        <v>934</v>
      </c>
      <c r="T24" s="67" t="s">
        <v>935</v>
      </c>
      <c r="U24" s="67" t="s">
        <v>936</v>
      </c>
      <c r="V24" s="61"/>
      <c r="W24" s="68" t="s">
        <v>937</v>
      </c>
      <c r="X24" s="68" t="s">
        <v>938</v>
      </c>
      <c r="Y24" s="68" t="s">
        <v>939</v>
      </c>
      <c r="Z24" s="69" t="s">
        <v>940</v>
      </c>
      <c r="AA24" s="66" t="s">
        <v>941</v>
      </c>
      <c r="AB24" s="68" t="s">
        <v>942</v>
      </c>
      <c r="AC24" s="68" t="s">
        <v>943</v>
      </c>
      <c r="AD24" s="68" t="s">
        <v>944</v>
      </c>
      <c r="AE24" s="68" t="s">
        <v>945</v>
      </c>
      <c r="AF24" s="68" t="s">
        <v>946</v>
      </c>
      <c r="AG24" s="68" t="s">
        <v>947</v>
      </c>
      <c r="AH24" s="69" t="s">
        <v>948</v>
      </c>
      <c r="AI24" s="66" t="s">
        <v>949</v>
      </c>
      <c r="AJ24" s="68" t="s">
        <v>950</v>
      </c>
      <c r="AK24" s="68" t="s">
        <v>951</v>
      </c>
      <c r="AL24" s="68" t="s">
        <v>952</v>
      </c>
      <c r="AM24" s="68" t="s">
        <v>953</v>
      </c>
      <c r="AN24" s="68" t="s">
        <v>954</v>
      </c>
      <c r="AO24" s="68" t="s">
        <v>955</v>
      </c>
      <c r="AP24" s="68" t="s">
        <v>956</v>
      </c>
      <c r="AQ24" s="69" t="s">
        <v>957</v>
      </c>
      <c r="AR24" s="66" t="s">
        <v>958</v>
      </c>
      <c r="AS24" s="68" t="s">
        <v>959</v>
      </c>
      <c r="AT24" s="68" t="s">
        <v>960</v>
      </c>
      <c r="AU24" s="68" t="s">
        <v>961</v>
      </c>
      <c r="AV24" s="68" t="s">
        <v>962</v>
      </c>
      <c r="AW24" s="69" t="s">
        <v>963</v>
      </c>
      <c r="AX24" s="66" t="s">
        <v>964</v>
      </c>
      <c r="AY24" s="69" t="s">
        <v>965</v>
      </c>
      <c r="AZ24" s="57" t="n">
        <v>11</v>
      </c>
      <c r="BA24" s="74" t="n">
        <v>11</v>
      </c>
      <c r="BB24" s="77" t="s">
        <v>966</v>
      </c>
      <c r="BC24" s="76" t="n">
        <v>0</v>
      </c>
      <c r="BD24" s="76" t="n">
        <f aca="false">_xlfn.RANK.EQ(BC24,$BC$14:$BC$53,0)</f>
        <v>10</v>
      </c>
    </row>
    <row r="25" customFormat="false" ht="18" hidden="false" customHeight="true" outlineLevel="0" collapsed="false">
      <c r="A25" s="87"/>
      <c r="B25" s="60" t="n">
        <v>20</v>
      </c>
      <c r="C25" s="59" t="s">
        <v>25</v>
      </c>
      <c r="D25" s="60" t="s">
        <v>967</v>
      </c>
      <c r="E25" s="62" t="s">
        <v>968</v>
      </c>
      <c r="F25" s="62" t="s">
        <v>969</v>
      </c>
      <c r="G25" s="62" t="s">
        <v>970</v>
      </c>
      <c r="H25" s="62" t="s">
        <v>971</v>
      </c>
      <c r="I25" s="62" t="s">
        <v>972</v>
      </c>
      <c r="J25" s="62" t="s">
        <v>973</v>
      </c>
      <c r="K25" s="62" t="s">
        <v>974</v>
      </c>
      <c r="L25" s="62" t="s">
        <v>975</v>
      </c>
      <c r="M25" s="62" t="s">
        <v>976</v>
      </c>
      <c r="N25" s="63" t="s">
        <v>977</v>
      </c>
      <c r="O25" s="60" t="s">
        <v>978</v>
      </c>
      <c r="P25" s="62" t="s">
        <v>979</v>
      </c>
      <c r="Q25" s="62" t="s">
        <v>980</v>
      </c>
      <c r="R25" s="62" t="s">
        <v>981</v>
      </c>
      <c r="S25" s="62" t="s">
        <v>982</v>
      </c>
      <c r="T25" s="62" t="s">
        <v>983</v>
      </c>
      <c r="U25" s="62" t="s">
        <v>984</v>
      </c>
      <c r="V25" s="62" t="s">
        <v>985</v>
      </c>
      <c r="W25" s="61"/>
      <c r="X25" s="62" t="s">
        <v>986</v>
      </c>
      <c r="Y25" s="62" t="s">
        <v>987</v>
      </c>
      <c r="Z25" s="63" t="s">
        <v>988</v>
      </c>
      <c r="AA25" s="60" t="s">
        <v>989</v>
      </c>
      <c r="AB25" s="62" t="s">
        <v>990</v>
      </c>
      <c r="AC25" s="62" t="s">
        <v>991</v>
      </c>
      <c r="AD25" s="62" t="s">
        <v>992</v>
      </c>
      <c r="AE25" s="62" t="s">
        <v>993</v>
      </c>
      <c r="AF25" s="62" t="s">
        <v>994</v>
      </c>
      <c r="AG25" s="62" t="s">
        <v>995</v>
      </c>
      <c r="AH25" s="63" t="s">
        <v>996</v>
      </c>
      <c r="AI25" s="60" t="s">
        <v>997</v>
      </c>
      <c r="AJ25" s="62" t="s">
        <v>998</v>
      </c>
      <c r="AK25" s="62" t="s">
        <v>999</v>
      </c>
      <c r="AL25" s="62" t="s">
        <v>1000</v>
      </c>
      <c r="AM25" s="62" t="s">
        <v>1001</v>
      </c>
      <c r="AN25" s="62" t="s">
        <v>1002</v>
      </c>
      <c r="AO25" s="62" t="s">
        <v>1003</v>
      </c>
      <c r="AP25" s="62" t="s">
        <v>1004</v>
      </c>
      <c r="AQ25" s="63" t="s">
        <v>1005</v>
      </c>
      <c r="AR25" s="60" t="s">
        <v>1006</v>
      </c>
      <c r="AS25" s="62" t="s">
        <v>1007</v>
      </c>
      <c r="AT25" s="62" t="s">
        <v>1008</v>
      </c>
      <c r="AU25" s="62" t="s">
        <v>1009</v>
      </c>
      <c r="AV25" s="62" t="s">
        <v>1010</v>
      </c>
      <c r="AW25" s="63" t="s">
        <v>1011</v>
      </c>
      <c r="AX25" s="60" t="s">
        <v>1012</v>
      </c>
      <c r="AY25" s="63" t="s">
        <v>1013</v>
      </c>
      <c r="AZ25" s="57" t="n">
        <v>25</v>
      </c>
      <c r="BA25" s="74" t="n">
        <v>12</v>
      </c>
      <c r="BB25" s="77" t="s">
        <v>1014</v>
      </c>
      <c r="BC25" s="76" t="n">
        <v>0</v>
      </c>
      <c r="BD25" s="76" t="n">
        <f aca="false">_xlfn.RANK.EQ(BC25,$BC$14:$BC$53,0)</f>
        <v>10</v>
      </c>
    </row>
    <row r="26" customFormat="false" ht="18" hidden="false" customHeight="true" outlineLevel="0" collapsed="false">
      <c r="A26" s="87"/>
      <c r="B26" s="64" t="n">
        <v>21</v>
      </c>
      <c r="C26" s="65" t="s">
        <v>26</v>
      </c>
      <c r="D26" s="66" t="s">
        <v>1015</v>
      </c>
      <c r="E26" s="67" t="s">
        <v>1016</v>
      </c>
      <c r="F26" s="68" t="s">
        <v>1017</v>
      </c>
      <c r="G26" s="67" t="s">
        <v>1018</v>
      </c>
      <c r="H26" s="67" t="s">
        <v>1019</v>
      </c>
      <c r="I26" s="68" t="s">
        <v>1020</v>
      </c>
      <c r="J26" s="68" t="s">
        <v>1021</v>
      </c>
      <c r="K26" s="68" t="s">
        <v>1022</v>
      </c>
      <c r="L26" s="68" t="s">
        <v>1023</v>
      </c>
      <c r="M26" s="68" t="s">
        <v>1024</v>
      </c>
      <c r="N26" s="69" t="s">
        <v>1025</v>
      </c>
      <c r="O26" s="66" t="s">
        <v>1026</v>
      </c>
      <c r="P26" s="68" t="s">
        <v>1027</v>
      </c>
      <c r="Q26" s="68" t="s">
        <v>1028</v>
      </c>
      <c r="R26" s="68" t="s">
        <v>1029</v>
      </c>
      <c r="S26" s="68" t="s">
        <v>1030</v>
      </c>
      <c r="T26" s="68" t="s">
        <v>1031</v>
      </c>
      <c r="U26" s="68" t="s">
        <v>1032</v>
      </c>
      <c r="V26" s="67" t="s">
        <v>1033</v>
      </c>
      <c r="W26" s="67" t="s">
        <v>1034</v>
      </c>
      <c r="X26" s="61"/>
      <c r="Y26" s="68" t="s">
        <v>1035</v>
      </c>
      <c r="Z26" s="69" t="s">
        <v>1036</v>
      </c>
      <c r="AA26" s="66" t="s">
        <v>1037</v>
      </c>
      <c r="AB26" s="68" t="s">
        <v>1038</v>
      </c>
      <c r="AC26" s="68" t="s">
        <v>1039</v>
      </c>
      <c r="AD26" s="68" t="s">
        <v>1040</v>
      </c>
      <c r="AE26" s="68" t="s">
        <v>1041</v>
      </c>
      <c r="AF26" s="68" t="s">
        <v>1042</v>
      </c>
      <c r="AG26" s="68" t="s">
        <v>1043</v>
      </c>
      <c r="AH26" s="69" t="s">
        <v>1044</v>
      </c>
      <c r="AI26" s="66" t="s">
        <v>1045</v>
      </c>
      <c r="AJ26" s="68" t="s">
        <v>1046</v>
      </c>
      <c r="AK26" s="68" t="s">
        <v>1047</v>
      </c>
      <c r="AL26" s="68" t="s">
        <v>1048</v>
      </c>
      <c r="AM26" s="68" t="s">
        <v>1049</v>
      </c>
      <c r="AN26" s="68" t="s">
        <v>1050</v>
      </c>
      <c r="AO26" s="68" t="s">
        <v>1051</v>
      </c>
      <c r="AP26" s="68" t="s">
        <v>1052</v>
      </c>
      <c r="AQ26" s="69" t="s">
        <v>1053</v>
      </c>
      <c r="AR26" s="66" t="s">
        <v>1054</v>
      </c>
      <c r="AS26" s="68" t="s">
        <v>1055</v>
      </c>
      <c r="AT26" s="68" t="s">
        <v>1056</v>
      </c>
      <c r="AU26" s="68" t="s">
        <v>1057</v>
      </c>
      <c r="AV26" s="68" t="s">
        <v>1058</v>
      </c>
      <c r="AW26" s="69" t="s">
        <v>1059</v>
      </c>
      <c r="AX26" s="66" t="s">
        <v>1060</v>
      </c>
      <c r="AY26" s="69" t="s">
        <v>1061</v>
      </c>
      <c r="AZ26" s="57" t="n">
        <v>27</v>
      </c>
      <c r="BA26" s="74" t="n">
        <v>13</v>
      </c>
      <c r="BB26" s="77" t="s">
        <v>1062</v>
      </c>
      <c r="BC26" s="76" t="n">
        <v>0</v>
      </c>
      <c r="BD26" s="76" t="n">
        <f aca="false">_xlfn.RANK.EQ(BC26,$BC$14:$BC$53,0)</f>
        <v>10</v>
      </c>
      <c r="BG26" s="96"/>
      <c r="BH26" s="96"/>
      <c r="BI26" s="96"/>
    </row>
    <row r="27" customFormat="false" ht="18" hidden="false" customHeight="true" outlineLevel="0" collapsed="false">
      <c r="A27" s="87"/>
      <c r="B27" s="60" t="n">
        <v>22</v>
      </c>
      <c r="C27" s="59" t="s">
        <v>27</v>
      </c>
      <c r="D27" s="60" t="s">
        <v>1063</v>
      </c>
      <c r="E27" s="62" t="s">
        <v>1064</v>
      </c>
      <c r="F27" s="62" t="s">
        <v>1065</v>
      </c>
      <c r="G27" s="62" t="s">
        <v>1066</v>
      </c>
      <c r="H27" s="62" t="s">
        <v>1067</v>
      </c>
      <c r="I27" s="62" t="s">
        <v>1068</v>
      </c>
      <c r="J27" s="62" t="s">
        <v>1069</v>
      </c>
      <c r="K27" s="62" t="s">
        <v>1070</v>
      </c>
      <c r="L27" s="62" t="s">
        <v>1071</v>
      </c>
      <c r="M27" s="62" t="s">
        <v>1072</v>
      </c>
      <c r="N27" s="63" t="s">
        <v>1073</v>
      </c>
      <c r="O27" s="60" t="s">
        <v>1074</v>
      </c>
      <c r="P27" s="62" t="s">
        <v>1075</v>
      </c>
      <c r="Q27" s="62" t="s">
        <v>1076</v>
      </c>
      <c r="R27" s="62" t="s">
        <v>1077</v>
      </c>
      <c r="S27" s="62" t="s">
        <v>1078</v>
      </c>
      <c r="T27" s="62" t="s">
        <v>1079</v>
      </c>
      <c r="U27" s="62" t="s">
        <v>1080</v>
      </c>
      <c r="V27" s="62" t="s">
        <v>1081</v>
      </c>
      <c r="W27" s="62" t="s">
        <v>1082</v>
      </c>
      <c r="X27" s="62" t="s">
        <v>1083</v>
      </c>
      <c r="Y27" s="61"/>
      <c r="Z27" s="63" t="s">
        <v>1084</v>
      </c>
      <c r="AA27" s="60" t="s">
        <v>1085</v>
      </c>
      <c r="AB27" s="62" t="s">
        <v>1086</v>
      </c>
      <c r="AC27" s="62" t="s">
        <v>1087</v>
      </c>
      <c r="AD27" s="62" t="s">
        <v>1088</v>
      </c>
      <c r="AE27" s="62" t="s">
        <v>1089</v>
      </c>
      <c r="AF27" s="62" t="s">
        <v>1090</v>
      </c>
      <c r="AG27" s="62" t="s">
        <v>1091</v>
      </c>
      <c r="AH27" s="63" t="s">
        <v>1092</v>
      </c>
      <c r="AI27" s="60" t="s">
        <v>1093</v>
      </c>
      <c r="AJ27" s="62" t="s">
        <v>1094</v>
      </c>
      <c r="AK27" s="62" t="s">
        <v>1095</v>
      </c>
      <c r="AL27" s="62" t="s">
        <v>1096</v>
      </c>
      <c r="AM27" s="62" t="s">
        <v>1097</v>
      </c>
      <c r="AN27" s="62" t="s">
        <v>1098</v>
      </c>
      <c r="AO27" s="62" t="s">
        <v>1099</v>
      </c>
      <c r="AP27" s="62" t="s">
        <v>1100</v>
      </c>
      <c r="AQ27" s="63" t="s">
        <v>1101</v>
      </c>
      <c r="AR27" s="60" t="s">
        <v>1102</v>
      </c>
      <c r="AS27" s="62" t="s">
        <v>1103</v>
      </c>
      <c r="AT27" s="62" t="s">
        <v>1104</v>
      </c>
      <c r="AU27" s="62" t="s">
        <v>1105</v>
      </c>
      <c r="AV27" s="62" t="s">
        <v>1106</v>
      </c>
      <c r="AW27" s="63" t="s">
        <v>1107</v>
      </c>
      <c r="AX27" s="60" t="s">
        <v>1108</v>
      </c>
      <c r="AY27" s="63" t="s">
        <v>1109</v>
      </c>
      <c r="AZ27" s="57" t="n">
        <v>9</v>
      </c>
      <c r="BA27" s="74" t="n">
        <v>14</v>
      </c>
      <c r="BB27" s="77" t="s">
        <v>1110</v>
      </c>
      <c r="BC27" s="76" t="n">
        <v>0</v>
      </c>
      <c r="BD27" s="76" t="n">
        <f aca="false">_xlfn.RANK.EQ(BC27,$BC$14:$BC$53,0)</f>
        <v>10</v>
      </c>
      <c r="BG27" s="96"/>
      <c r="BH27" s="96"/>
      <c r="BI27" s="96"/>
    </row>
    <row r="28" customFormat="false" ht="18" hidden="false" customHeight="true" outlineLevel="0" collapsed="false">
      <c r="A28" s="87"/>
      <c r="B28" s="78" t="n">
        <v>23</v>
      </c>
      <c r="C28" s="79" t="s">
        <v>1111</v>
      </c>
      <c r="D28" s="84" t="s">
        <v>1112</v>
      </c>
      <c r="E28" s="97" t="s">
        <v>1113</v>
      </c>
      <c r="F28" s="85" t="s">
        <v>1114</v>
      </c>
      <c r="G28" s="97" t="s">
        <v>1115</v>
      </c>
      <c r="H28" s="97" t="s">
        <v>1116</v>
      </c>
      <c r="I28" s="85" t="s">
        <v>1117</v>
      </c>
      <c r="J28" s="85" t="s">
        <v>1118</v>
      </c>
      <c r="K28" s="85" t="s">
        <v>1119</v>
      </c>
      <c r="L28" s="85" t="s">
        <v>1120</v>
      </c>
      <c r="M28" s="85" t="s">
        <v>1121</v>
      </c>
      <c r="N28" s="86" t="s">
        <v>1122</v>
      </c>
      <c r="O28" s="84" t="s">
        <v>1123</v>
      </c>
      <c r="P28" s="85" t="s">
        <v>1124</v>
      </c>
      <c r="Q28" s="85" t="s">
        <v>1125</v>
      </c>
      <c r="R28" s="85" t="s">
        <v>1126</v>
      </c>
      <c r="S28" s="85" t="s">
        <v>1127</v>
      </c>
      <c r="T28" s="85" t="s">
        <v>1128</v>
      </c>
      <c r="U28" s="85" t="s">
        <v>1129</v>
      </c>
      <c r="V28" s="85" t="s">
        <v>1130</v>
      </c>
      <c r="W28" s="85" t="s">
        <v>1131</v>
      </c>
      <c r="X28" s="97" t="s">
        <v>1132</v>
      </c>
      <c r="Y28" s="85" t="s">
        <v>1133</v>
      </c>
      <c r="Z28" s="98"/>
      <c r="AA28" s="84" t="s">
        <v>1134</v>
      </c>
      <c r="AB28" s="85" t="s">
        <v>1135</v>
      </c>
      <c r="AC28" s="85" t="s">
        <v>1136</v>
      </c>
      <c r="AD28" s="85" t="s">
        <v>1137</v>
      </c>
      <c r="AE28" s="85" t="s">
        <v>1138</v>
      </c>
      <c r="AF28" s="85" t="s">
        <v>1139</v>
      </c>
      <c r="AG28" s="85" t="s">
        <v>1140</v>
      </c>
      <c r="AH28" s="86" t="s">
        <v>1141</v>
      </c>
      <c r="AI28" s="84" t="s">
        <v>1142</v>
      </c>
      <c r="AJ28" s="85" t="s">
        <v>1143</v>
      </c>
      <c r="AK28" s="85" t="s">
        <v>1144</v>
      </c>
      <c r="AL28" s="85" t="s">
        <v>1145</v>
      </c>
      <c r="AM28" s="85" t="s">
        <v>1146</v>
      </c>
      <c r="AN28" s="85" t="s">
        <v>1147</v>
      </c>
      <c r="AO28" s="85" t="s">
        <v>1148</v>
      </c>
      <c r="AP28" s="85" t="s">
        <v>1149</v>
      </c>
      <c r="AQ28" s="86" t="s">
        <v>1150</v>
      </c>
      <c r="AR28" s="84" t="s">
        <v>1151</v>
      </c>
      <c r="AS28" s="85" t="s">
        <v>1152</v>
      </c>
      <c r="AT28" s="85" t="s">
        <v>1153</v>
      </c>
      <c r="AU28" s="85" t="s">
        <v>1154</v>
      </c>
      <c r="AV28" s="85" t="s">
        <v>1155</v>
      </c>
      <c r="AW28" s="86" t="s">
        <v>1156</v>
      </c>
      <c r="AX28" s="84" t="s">
        <v>1157</v>
      </c>
      <c r="AY28" s="86" t="s">
        <v>1158</v>
      </c>
      <c r="AZ28" s="57" t="n">
        <v>2</v>
      </c>
      <c r="BA28" s="74" t="n">
        <v>15</v>
      </c>
      <c r="BB28" s="75" t="s">
        <v>1159</v>
      </c>
      <c r="BC28" s="76" t="n">
        <v>1</v>
      </c>
      <c r="BD28" s="76" t="n">
        <f aca="false">_xlfn.RANK.EQ(BC28,$BC$14:$BC$53,0)</f>
        <v>2</v>
      </c>
      <c r="BG28" s="96"/>
      <c r="BH28" s="99"/>
      <c r="BI28" s="96"/>
    </row>
    <row r="29" customFormat="false" ht="18" hidden="false" customHeight="true" outlineLevel="0" collapsed="false">
      <c r="A29" s="100" t="s">
        <v>2</v>
      </c>
      <c r="B29" s="88" t="n">
        <v>24</v>
      </c>
      <c r="C29" s="91" t="s">
        <v>29</v>
      </c>
      <c r="D29" s="88" t="s">
        <v>1160</v>
      </c>
      <c r="E29" s="90" t="s">
        <v>1161</v>
      </c>
      <c r="F29" s="90" t="s">
        <v>1162</v>
      </c>
      <c r="G29" s="90" t="s">
        <v>1163</v>
      </c>
      <c r="H29" s="90" t="s">
        <v>1164</v>
      </c>
      <c r="I29" s="90" t="s">
        <v>1165</v>
      </c>
      <c r="J29" s="90" t="s">
        <v>1166</v>
      </c>
      <c r="K29" s="90" t="s">
        <v>1167</v>
      </c>
      <c r="L29" s="90" t="s">
        <v>1168</v>
      </c>
      <c r="M29" s="90" t="s">
        <v>1169</v>
      </c>
      <c r="N29" s="91" t="s">
        <v>1170</v>
      </c>
      <c r="O29" s="88" t="s">
        <v>1171</v>
      </c>
      <c r="P29" s="90" t="s">
        <v>1172</v>
      </c>
      <c r="Q29" s="90" t="s">
        <v>1173</v>
      </c>
      <c r="R29" s="90" t="s">
        <v>1174</v>
      </c>
      <c r="S29" s="90" t="s">
        <v>1175</v>
      </c>
      <c r="T29" s="90" t="s">
        <v>1176</v>
      </c>
      <c r="U29" s="90" t="s">
        <v>1177</v>
      </c>
      <c r="V29" s="90" t="s">
        <v>1178</v>
      </c>
      <c r="W29" s="90" t="s">
        <v>1179</v>
      </c>
      <c r="X29" s="90" t="s">
        <v>1180</v>
      </c>
      <c r="Y29" s="90" t="s">
        <v>1181</v>
      </c>
      <c r="Z29" s="91" t="s">
        <v>1182</v>
      </c>
      <c r="AA29" s="53"/>
      <c r="AB29" s="90" t="s">
        <v>1183</v>
      </c>
      <c r="AC29" s="90" t="s">
        <v>1184</v>
      </c>
      <c r="AD29" s="90" t="s">
        <v>1185</v>
      </c>
      <c r="AE29" s="90" t="s">
        <v>1186</v>
      </c>
      <c r="AF29" s="90" t="s">
        <v>1187</v>
      </c>
      <c r="AG29" s="90" t="s">
        <v>1188</v>
      </c>
      <c r="AH29" s="91" t="s">
        <v>1189</v>
      </c>
      <c r="AI29" s="88" t="s">
        <v>1190</v>
      </c>
      <c r="AJ29" s="90" t="s">
        <v>1191</v>
      </c>
      <c r="AK29" s="90" t="s">
        <v>1192</v>
      </c>
      <c r="AL29" s="90" t="s">
        <v>1193</v>
      </c>
      <c r="AM29" s="90" t="s">
        <v>1194</v>
      </c>
      <c r="AN29" s="90" t="s">
        <v>1195</v>
      </c>
      <c r="AO29" s="90" t="s">
        <v>1196</v>
      </c>
      <c r="AP29" s="90" t="s">
        <v>1197</v>
      </c>
      <c r="AQ29" s="91" t="s">
        <v>1198</v>
      </c>
      <c r="AR29" s="88" t="s">
        <v>1199</v>
      </c>
      <c r="AS29" s="90" t="s">
        <v>1200</v>
      </c>
      <c r="AT29" s="90" t="s">
        <v>1201</v>
      </c>
      <c r="AU29" s="90" t="s">
        <v>1202</v>
      </c>
      <c r="AV29" s="90" t="s">
        <v>1203</v>
      </c>
      <c r="AW29" s="91" t="s">
        <v>1204</v>
      </c>
      <c r="AX29" s="88" t="s">
        <v>1205</v>
      </c>
      <c r="AY29" s="91" t="s">
        <v>1206</v>
      </c>
      <c r="AZ29" s="57" t="n">
        <v>12</v>
      </c>
      <c r="BA29" s="74" t="n">
        <v>16</v>
      </c>
      <c r="BB29" s="77" t="s">
        <v>1207</v>
      </c>
      <c r="BC29" s="76" t="n">
        <v>0</v>
      </c>
      <c r="BD29" s="76" t="n">
        <f aca="false">_xlfn.RANK.EQ(BC29,$BC$14:$BC$53,0)</f>
        <v>10</v>
      </c>
      <c r="BG29" s="96"/>
      <c r="BH29" s="96"/>
      <c r="BI29" s="96"/>
    </row>
    <row r="30" customFormat="false" ht="18" hidden="false" customHeight="true" outlineLevel="0" collapsed="false">
      <c r="A30" s="100"/>
      <c r="B30" s="64" t="n">
        <v>25</v>
      </c>
      <c r="C30" s="101" t="s">
        <v>30</v>
      </c>
      <c r="D30" s="66" t="s">
        <v>1208</v>
      </c>
      <c r="E30" s="68" t="s">
        <v>1209</v>
      </c>
      <c r="F30" s="68" t="s">
        <v>1210</v>
      </c>
      <c r="G30" s="68" t="s">
        <v>1211</v>
      </c>
      <c r="H30" s="68" t="s">
        <v>1212</v>
      </c>
      <c r="I30" s="68" t="s">
        <v>1213</v>
      </c>
      <c r="J30" s="68" t="s">
        <v>1214</v>
      </c>
      <c r="K30" s="68" t="s">
        <v>1215</v>
      </c>
      <c r="L30" s="68" t="s">
        <v>1216</v>
      </c>
      <c r="M30" s="68" t="s">
        <v>1217</v>
      </c>
      <c r="N30" s="69" t="s">
        <v>1218</v>
      </c>
      <c r="O30" s="66" t="s">
        <v>1219</v>
      </c>
      <c r="P30" s="68" t="s">
        <v>1220</v>
      </c>
      <c r="Q30" s="68" t="s">
        <v>1221</v>
      </c>
      <c r="R30" s="68" t="s">
        <v>1222</v>
      </c>
      <c r="S30" s="68" t="s">
        <v>1223</v>
      </c>
      <c r="T30" s="68" t="s">
        <v>1224</v>
      </c>
      <c r="U30" s="68" t="s">
        <v>1225</v>
      </c>
      <c r="V30" s="68" t="s">
        <v>1226</v>
      </c>
      <c r="W30" s="68" t="s">
        <v>1227</v>
      </c>
      <c r="X30" s="68" t="s">
        <v>1228</v>
      </c>
      <c r="Y30" s="67" t="s">
        <v>1229</v>
      </c>
      <c r="Z30" s="92" t="s">
        <v>1230</v>
      </c>
      <c r="AA30" s="64" t="s">
        <v>1231</v>
      </c>
      <c r="AB30" s="61"/>
      <c r="AC30" s="67" t="s">
        <v>1232</v>
      </c>
      <c r="AD30" s="67" t="s">
        <v>1233</v>
      </c>
      <c r="AE30" s="67" t="s">
        <v>1234</v>
      </c>
      <c r="AF30" s="67" t="s">
        <v>1235</v>
      </c>
      <c r="AG30" s="67" t="s">
        <v>1236</v>
      </c>
      <c r="AH30" s="92" t="s">
        <v>1237</v>
      </c>
      <c r="AI30" s="64" t="s">
        <v>1238</v>
      </c>
      <c r="AJ30" s="67" t="s">
        <v>1239</v>
      </c>
      <c r="AK30" s="67" t="s">
        <v>1240</v>
      </c>
      <c r="AL30" s="67" t="s">
        <v>1241</v>
      </c>
      <c r="AM30" s="67" t="s">
        <v>1242</v>
      </c>
      <c r="AN30" s="67" t="s">
        <v>1243</v>
      </c>
      <c r="AO30" s="67" t="s">
        <v>1244</v>
      </c>
      <c r="AP30" s="67" t="s">
        <v>1245</v>
      </c>
      <c r="AQ30" s="92" t="s">
        <v>1246</v>
      </c>
      <c r="AR30" s="64" t="s">
        <v>1247</v>
      </c>
      <c r="AS30" s="67" t="s">
        <v>1248</v>
      </c>
      <c r="AT30" s="67" t="s">
        <v>1249</v>
      </c>
      <c r="AU30" s="67" t="s">
        <v>1250</v>
      </c>
      <c r="AV30" s="67" t="s">
        <v>1251</v>
      </c>
      <c r="AW30" s="92" t="s">
        <v>1252</v>
      </c>
      <c r="AX30" s="64" t="s">
        <v>1253</v>
      </c>
      <c r="AY30" s="92" t="s">
        <v>1254</v>
      </c>
      <c r="AZ30" s="57" t="n">
        <v>8</v>
      </c>
      <c r="BA30" s="74" t="n">
        <v>17</v>
      </c>
      <c r="BB30" s="77" t="s">
        <v>1255</v>
      </c>
      <c r="BC30" s="76" t="n">
        <v>0</v>
      </c>
      <c r="BD30" s="76" t="n">
        <f aca="false">_xlfn.RANK.EQ(BC30,$BC$14:$BC$53,0)</f>
        <v>10</v>
      </c>
    </row>
    <row r="31" customFormat="false" ht="18" hidden="false" customHeight="true" outlineLevel="0" collapsed="false">
      <c r="A31" s="100"/>
      <c r="B31" s="60" t="n">
        <v>26</v>
      </c>
      <c r="C31" s="63" t="s">
        <v>31</v>
      </c>
      <c r="D31" s="60" t="s">
        <v>1256</v>
      </c>
      <c r="E31" s="62" t="s">
        <v>1257</v>
      </c>
      <c r="F31" s="62" t="s">
        <v>1258</v>
      </c>
      <c r="G31" s="62" t="s">
        <v>1259</v>
      </c>
      <c r="H31" s="62" t="s">
        <v>1260</v>
      </c>
      <c r="I31" s="62" t="s">
        <v>1261</v>
      </c>
      <c r="J31" s="62" t="s">
        <v>1262</v>
      </c>
      <c r="K31" s="62" t="s">
        <v>1263</v>
      </c>
      <c r="L31" s="62" t="s">
        <v>1264</v>
      </c>
      <c r="M31" s="62" t="s">
        <v>1265</v>
      </c>
      <c r="N31" s="63" t="s">
        <v>1266</v>
      </c>
      <c r="O31" s="60" t="s">
        <v>1267</v>
      </c>
      <c r="P31" s="62" t="s">
        <v>1268</v>
      </c>
      <c r="Q31" s="62" t="s">
        <v>1269</v>
      </c>
      <c r="R31" s="62" t="s">
        <v>1270</v>
      </c>
      <c r="S31" s="62" t="s">
        <v>1271</v>
      </c>
      <c r="T31" s="62" t="s">
        <v>1272</v>
      </c>
      <c r="U31" s="62" t="s">
        <v>1273</v>
      </c>
      <c r="V31" s="62" t="s">
        <v>1274</v>
      </c>
      <c r="W31" s="62" t="s">
        <v>1275</v>
      </c>
      <c r="X31" s="62" t="s">
        <v>1276</v>
      </c>
      <c r="Y31" s="62" t="s">
        <v>1277</v>
      </c>
      <c r="Z31" s="63" t="s">
        <v>1278</v>
      </c>
      <c r="AA31" s="60" t="s">
        <v>1279</v>
      </c>
      <c r="AB31" s="62" t="s">
        <v>1280</v>
      </c>
      <c r="AC31" s="61"/>
      <c r="AD31" s="62" t="s">
        <v>1281</v>
      </c>
      <c r="AE31" s="62" t="s">
        <v>1282</v>
      </c>
      <c r="AF31" s="62" t="s">
        <v>1283</v>
      </c>
      <c r="AG31" s="62" t="s">
        <v>1284</v>
      </c>
      <c r="AH31" s="63" t="s">
        <v>1285</v>
      </c>
      <c r="AI31" s="60" t="s">
        <v>1286</v>
      </c>
      <c r="AJ31" s="62" t="s">
        <v>1287</v>
      </c>
      <c r="AK31" s="62" t="s">
        <v>1288</v>
      </c>
      <c r="AL31" s="62" t="s">
        <v>1289</v>
      </c>
      <c r="AM31" s="62" t="s">
        <v>1290</v>
      </c>
      <c r="AN31" s="62" t="s">
        <v>1291</v>
      </c>
      <c r="AO31" s="62" t="s">
        <v>1292</v>
      </c>
      <c r="AP31" s="62" t="s">
        <v>1293</v>
      </c>
      <c r="AQ31" s="63" t="s">
        <v>1294</v>
      </c>
      <c r="AR31" s="60" t="s">
        <v>1295</v>
      </c>
      <c r="AS31" s="62" t="s">
        <v>1296</v>
      </c>
      <c r="AT31" s="62" t="s">
        <v>1297</v>
      </c>
      <c r="AU31" s="62" t="s">
        <v>1298</v>
      </c>
      <c r="AV31" s="62" t="s">
        <v>1299</v>
      </c>
      <c r="AW31" s="63" t="s">
        <v>1300</v>
      </c>
      <c r="AX31" s="60" t="s">
        <v>1301</v>
      </c>
      <c r="AY31" s="63" t="s">
        <v>1302</v>
      </c>
      <c r="AZ31" s="57" t="n">
        <v>17</v>
      </c>
      <c r="BA31" s="74" t="n">
        <v>18</v>
      </c>
      <c r="BB31" s="77" t="s">
        <v>1303</v>
      </c>
      <c r="BC31" s="76" t="n">
        <v>0</v>
      </c>
      <c r="BD31" s="76" t="n">
        <f aca="false">_xlfn.RANK.EQ(BC31,$BC$14:$BC$53,0)</f>
        <v>10</v>
      </c>
    </row>
    <row r="32" customFormat="false" ht="18" hidden="false" customHeight="true" outlineLevel="0" collapsed="false">
      <c r="A32" s="100"/>
      <c r="B32" s="64" t="n">
        <v>27</v>
      </c>
      <c r="C32" s="101" t="s">
        <v>32</v>
      </c>
      <c r="D32" s="66" t="s">
        <v>1304</v>
      </c>
      <c r="E32" s="68" t="s">
        <v>1305</v>
      </c>
      <c r="F32" s="68" t="s">
        <v>1306</v>
      </c>
      <c r="G32" s="68" t="s">
        <v>1307</v>
      </c>
      <c r="H32" s="68" t="s">
        <v>1308</v>
      </c>
      <c r="I32" s="68" t="s">
        <v>1309</v>
      </c>
      <c r="J32" s="68" t="s">
        <v>1310</v>
      </c>
      <c r="K32" s="68" t="s">
        <v>1311</v>
      </c>
      <c r="L32" s="68" t="s">
        <v>1312</v>
      </c>
      <c r="M32" s="68" t="s">
        <v>1313</v>
      </c>
      <c r="N32" s="69" t="s">
        <v>1314</v>
      </c>
      <c r="O32" s="66" t="s">
        <v>1315</v>
      </c>
      <c r="P32" s="68" t="s">
        <v>1316</v>
      </c>
      <c r="Q32" s="68" t="s">
        <v>1317</v>
      </c>
      <c r="R32" s="68" t="s">
        <v>1318</v>
      </c>
      <c r="S32" s="68" t="s">
        <v>1319</v>
      </c>
      <c r="T32" s="68" t="s">
        <v>1320</v>
      </c>
      <c r="U32" s="68" t="s">
        <v>1321</v>
      </c>
      <c r="V32" s="68" t="s">
        <v>1322</v>
      </c>
      <c r="W32" s="68" t="s">
        <v>1323</v>
      </c>
      <c r="X32" s="68" t="s">
        <v>1324</v>
      </c>
      <c r="Y32" s="67" t="s">
        <v>1325</v>
      </c>
      <c r="Z32" s="92" t="s">
        <v>1326</v>
      </c>
      <c r="AA32" s="64" t="s">
        <v>1327</v>
      </c>
      <c r="AB32" s="67" t="s">
        <v>1328</v>
      </c>
      <c r="AC32" s="67" t="s">
        <v>1329</v>
      </c>
      <c r="AD32" s="61"/>
      <c r="AE32" s="67" t="s">
        <v>1330</v>
      </c>
      <c r="AF32" s="67" t="s">
        <v>1331</v>
      </c>
      <c r="AG32" s="67" t="s">
        <v>1332</v>
      </c>
      <c r="AH32" s="92" t="s">
        <v>1333</v>
      </c>
      <c r="AI32" s="64" t="s">
        <v>1334</v>
      </c>
      <c r="AJ32" s="67" t="s">
        <v>1335</v>
      </c>
      <c r="AK32" s="67" t="s">
        <v>1336</v>
      </c>
      <c r="AL32" s="67" t="s">
        <v>1337</v>
      </c>
      <c r="AM32" s="67" t="s">
        <v>1338</v>
      </c>
      <c r="AN32" s="67" t="s">
        <v>1339</v>
      </c>
      <c r="AO32" s="67" t="s">
        <v>1340</v>
      </c>
      <c r="AP32" s="67" t="s">
        <v>1341</v>
      </c>
      <c r="AQ32" s="92" t="s">
        <v>1342</v>
      </c>
      <c r="AR32" s="64" t="s">
        <v>1343</v>
      </c>
      <c r="AS32" s="67" t="s">
        <v>1344</v>
      </c>
      <c r="AT32" s="67" t="s">
        <v>1345</v>
      </c>
      <c r="AU32" s="67" t="s">
        <v>1346</v>
      </c>
      <c r="AV32" s="67" t="s">
        <v>1347</v>
      </c>
      <c r="AW32" s="92" t="s">
        <v>1348</v>
      </c>
      <c r="AX32" s="64" t="s">
        <v>1349</v>
      </c>
      <c r="AY32" s="92" t="s">
        <v>1350</v>
      </c>
      <c r="AZ32" s="57" t="n">
        <v>66</v>
      </c>
      <c r="BA32" s="74" t="n">
        <v>19</v>
      </c>
      <c r="BB32" s="75" t="s">
        <v>1351</v>
      </c>
      <c r="BC32" s="76" t="n">
        <v>1</v>
      </c>
      <c r="BD32" s="76" t="n">
        <f aca="false">_xlfn.RANK.EQ(BC32,$BC$14:$BC$53,0)</f>
        <v>2</v>
      </c>
    </row>
    <row r="33" customFormat="false" ht="18" hidden="false" customHeight="true" outlineLevel="0" collapsed="false">
      <c r="A33" s="100"/>
      <c r="B33" s="60" t="n">
        <v>28</v>
      </c>
      <c r="C33" s="63" t="s">
        <v>1352</v>
      </c>
      <c r="D33" s="60" t="s">
        <v>1353</v>
      </c>
      <c r="E33" s="62" t="s">
        <v>1354</v>
      </c>
      <c r="F33" s="62" t="s">
        <v>1355</v>
      </c>
      <c r="G33" s="62" t="s">
        <v>1356</v>
      </c>
      <c r="H33" s="62" t="s">
        <v>1357</v>
      </c>
      <c r="I33" s="62" t="s">
        <v>1358</v>
      </c>
      <c r="J33" s="62" t="s">
        <v>1359</v>
      </c>
      <c r="K33" s="62" t="s">
        <v>1360</v>
      </c>
      <c r="L33" s="62" t="s">
        <v>1361</v>
      </c>
      <c r="M33" s="62" t="s">
        <v>1362</v>
      </c>
      <c r="N33" s="63" t="s">
        <v>1363</v>
      </c>
      <c r="O33" s="60" t="s">
        <v>1364</v>
      </c>
      <c r="P33" s="62" t="s">
        <v>1365</v>
      </c>
      <c r="Q33" s="62" t="s">
        <v>1366</v>
      </c>
      <c r="R33" s="62" t="s">
        <v>1367</v>
      </c>
      <c r="S33" s="62" t="s">
        <v>1368</v>
      </c>
      <c r="T33" s="62" t="s">
        <v>1369</v>
      </c>
      <c r="U33" s="62" t="s">
        <v>1370</v>
      </c>
      <c r="V33" s="62" t="s">
        <v>1371</v>
      </c>
      <c r="W33" s="62" t="s">
        <v>1372</v>
      </c>
      <c r="X33" s="62" t="s">
        <v>1373</v>
      </c>
      <c r="Y33" s="62" t="s">
        <v>1374</v>
      </c>
      <c r="Z33" s="63" t="s">
        <v>1375</v>
      </c>
      <c r="AA33" s="60" t="s">
        <v>1376</v>
      </c>
      <c r="AB33" s="62" t="s">
        <v>1377</v>
      </c>
      <c r="AC33" s="62" t="s">
        <v>1378</v>
      </c>
      <c r="AD33" s="62" t="s">
        <v>1379</v>
      </c>
      <c r="AE33" s="61"/>
      <c r="AF33" s="62" t="s">
        <v>1380</v>
      </c>
      <c r="AG33" s="62" t="s">
        <v>1381</v>
      </c>
      <c r="AH33" s="63" t="s">
        <v>1382</v>
      </c>
      <c r="AI33" s="60" t="s">
        <v>1383</v>
      </c>
      <c r="AJ33" s="62" t="s">
        <v>1384</v>
      </c>
      <c r="AK33" s="62" t="s">
        <v>1385</v>
      </c>
      <c r="AL33" s="62" t="s">
        <v>1386</v>
      </c>
      <c r="AM33" s="62" t="s">
        <v>1387</v>
      </c>
      <c r="AN33" s="62" t="s">
        <v>1388</v>
      </c>
      <c r="AO33" s="62" t="s">
        <v>1389</v>
      </c>
      <c r="AP33" s="62" t="s">
        <v>1390</v>
      </c>
      <c r="AQ33" s="63" t="s">
        <v>1391</v>
      </c>
      <c r="AR33" s="60" t="s">
        <v>1392</v>
      </c>
      <c r="AS33" s="62" t="s">
        <v>1393</v>
      </c>
      <c r="AT33" s="62" t="s">
        <v>1394</v>
      </c>
      <c r="AU33" s="62" t="s">
        <v>1395</v>
      </c>
      <c r="AV33" s="62" t="s">
        <v>1396</v>
      </c>
      <c r="AW33" s="63" t="s">
        <v>1397</v>
      </c>
      <c r="AX33" s="60" t="s">
        <v>1398</v>
      </c>
      <c r="AY33" s="63" t="s">
        <v>1399</v>
      </c>
      <c r="AZ33" s="57" t="n">
        <v>73</v>
      </c>
      <c r="BA33" s="74" t="n">
        <v>20</v>
      </c>
      <c r="BB33" s="77" t="s">
        <v>1400</v>
      </c>
      <c r="BC33" s="76" t="n">
        <v>0</v>
      </c>
      <c r="BD33" s="76" t="n">
        <f aca="false">_xlfn.RANK.EQ(BC33,$BC$14:$BC$53,0)</f>
        <v>10</v>
      </c>
    </row>
    <row r="34" customFormat="false" ht="18" hidden="false" customHeight="true" outlineLevel="0" collapsed="false">
      <c r="A34" s="100"/>
      <c r="B34" s="64" t="n">
        <v>29</v>
      </c>
      <c r="C34" s="101" t="s">
        <v>1401</v>
      </c>
      <c r="D34" s="66" t="s">
        <v>1402</v>
      </c>
      <c r="E34" s="68" t="s">
        <v>1403</v>
      </c>
      <c r="F34" s="68" t="s">
        <v>1404</v>
      </c>
      <c r="G34" s="68" t="s">
        <v>1405</v>
      </c>
      <c r="H34" s="68" t="s">
        <v>1406</v>
      </c>
      <c r="I34" s="68" t="s">
        <v>1407</v>
      </c>
      <c r="J34" s="68" t="s">
        <v>1408</v>
      </c>
      <c r="K34" s="68" t="s">
        <v>1409</v>
      </c>
      <c r="L34" s="68" t="s">
        <v>1410</v>
      </c>
      <c r="M34" s="68" t="s">
        <v>1411</v>
      </c>
      <c r="N34" s="69" t="s">
        <v>1412</v>
      </c>
      <c r="O34" s="66" t="s">
        <v>1413</v>
      </c>
      <c r="P34" s="68" t="s">
        <v>1414</v>
      </c>
      <c r="Q34" s="68" t="s">
        <v>1415</v>
      </c>
      <c r="R34" s="68" t="s">
        <v>1416</v>
      </c>
      <c r="S34" s="68" t="s">
        <v>1417</v>
      </c>
      <c r="T34" s="68" t="s">
        <v>1418</v>
      </c>
      <c r="U34" s="68" t="s">
        <v>1419</v>
      </c>
      <c r="V34" s="68" t="s">
        <v>1420</v>
      </c>
      <c r="W34" s="68" t="s">
        <v>1421</v>
      </c>
      <c r="X34" s="68" t="s">
        <v>1422</v>
      </c>
      <c r="Y34" s="67" t="s">
        <v>1423</v>
      </c>
      <c r="Z34" s="92" t="s">
        <v>1424</v>
      </c>
      <c r="AA34" s="64" t="s">
        <v>1425</v>
      </c>
      <c r="AB34" s="67" t="s">
        <v>1426</v>
      </c>
      <c r="AC34" s="67" t="s">
        <v>1427</v>
      </c>
      <c r="AD34" s="67" t="s">
        <v>1428</v>
      </c>
      <c r="AE34" s="67" t="s">
        <v>1429</v>
      </c>
      <c r="AF34" s="61"/>
      <c r="AG34" s="67" t="s">
        <v>1430</v>
      </c>
      <c r="AH34" s="92" t="s">
        <v>1431</v>
      </c>
      <c r="AI34" s="64" t="s">
        <v>1432</v>
      </c>
      <c r="AJ34" s="67" t="s">
        <v>1433</v>
      </c>
      <c r="AK34" s="67" t="s">
        <v>1434</v>
      </c>
      <c r="AL34" s="67" t="s">
        <v>1435</v>
      </c>
      <c r="AM34" s="67" t="s">
        <v>1436</v>
      </c>
      <c r="AN34" s="67" t="s">
        <v>1437</v>
      </c>
      <c r="AO34" s="67" t="s">
        <v>1438</v>
      </c>
      <c r="AP34" s="67" t="s">
        <v>1439</v>
      </c>
      <c r="AQ34" s="92" t="s">
        <v>1440</v>
      </c>
      <c r="AR34" s="64" t="s">
        <v>1441</v>
      </c>
      <c r="AS34" s="67" t="s">
        <v>1442</v>
      </c>
      <c r="AT34" s="67" t="s">
        <v>1443</v>
      </c>
      <c r="AU34" s="67" t="s">
        <v>1444</v>
      </c>
      <c r="AV34" s="67" t="s">
        <v>1445</v>
      </c>
      <c r="AW34" s="92" t="s">
        <v>1446</v>
      </c>
      <c r="AX34" s="64" t="s">
        <v>1447</v>
      </c>
      <c r="AY34" s="92" t="s">
        <v>1448</v>
      </c>
      <c r="AZ34" s="57" t="n">
        <v>6</v>
      </c>
      <c r="BA34" s="74" t="n">
        <v>21</v>
      </c>
      <c r="BB34" s="77" t="s">
        <v>1449</v>
      </c>
      <c r="BC34" s="76" t="n">
        <v>0</v>
      </c>
      <c r="BD34" s="76" t="n">
        <f aca="false">_xlfn.RANK.EQ(BC34,$BC$14:$BC$53,0)</f>
        <v>10</v>
      </c>
    </row>
    <row r="35" customFormat="false" ht="18" hidden="false" customHeight="true" outlineLevel="0" collapsed="false">
      <c r="A35" s="100"/>
      <c r="B35" s="60" t="n">
        <v>30</v>
      </c>
      <c r="C35" s="63" t="s">
        <v>35</v>
      </c>
      <c r="D35" s="60" t="s">
        <v>1450</v>
      </c>
      <c r="E35" s="62" t="s">
        <v>1451</v>
      </c>
      <c r="F35" s="62" t="s">
        <v>1452</v>
      </c>
      <c r="G35" s="62" t="s">
        <v>1453</v>
      </c>
      <c r="H35" s="62" t="s">
        <v>1454</v>
      </c>
      <c r="I35" s="62" t="s">
        <v>1455</v>
      </c>
      <c r="J35" s="62" t="s">
        <v>1456</v>
      </c>
      <c r="K35" s="62" t="s">
        <v>1457</v>
      </c>
      <c r="L35" s="62" t="s">
        <v>1458</v>
      </c>
      <c r="M35" s="62" t="s">
        <v>1459</v>
      </c>
      <c r="N35" s="63" t="s">
        <v>1460</v>
      </c>
      <c r="O35" s="60" t="s">
        <v>1461</v>
      </c>
      <c r="P35" s="62" t="s">
        <v>1462</v>
      </c>
      <c r="Q35" s="62" t="s">
        <v>1463</v>
      </c>
      <c r="R35" s="62" t="s">
        <v>1464</v>
      </c>
      <c r="S35" s="62" t="s">
        <v>1465</v>
      </c>
      <c r="T35" s="62" t="s">
        <v>1466</v>
      </c>
      <c r="U35" s="62" t="s">
        <v>1467</v>
      </c>
      <c r="V35" s="62" t="s">
        <v>1468</v>
      </c>
      <c r="W35" s="62" t="s">
        <v>1469</v>
      </c>
      <c r="X35" s="62" t="s">
        <v>1470</v>
      </c>
      <c r="Y35" s="62" t="s">
        <v>1471</v>
      </c>
      <c r="Z35" s="63" t="s">
        <v>1472</v>
      </c>
      <c r="AA35" s="60" t="s">
        <v>1473</v>
      </c>
      <c r="AB35" s="62" t="s">
        <v>1474</v>
      </c>
      <c r="AC35" s="62" t="s">
        <v>1475</v>
      </c>
      <c r="AD35" s="62" t="s">
        <v>1476</v>
      </c>
      <c r="AE35" s="62" t="s">
        <v>1477</v>
      </c>
      <c r="AF35" s="62" t="s">
        <v>1478</v>
      </c>
      <c r="AG35" s="61"/>
      <c r="AH35" s="63" t="s">
        <v>1479</v>
      </c>
      <c r="AI35" s="60" t="s">
        <v>1480</v>
      </c>
      <c r="AJ35" s="62" t="s">
        <v>1481</v>
      </c>
      <c r="AK35" s="62" t="s">
        <v>1482</v>
      </c>
      <c r="AL35" s="62" t="s">
        <v>1483</v>
      </c>
      <c r="AM35" s="62" t="s">
        <v>1484</v>
      </c>
      <c r="AN35" s="62" t="s">
        <v>1485</v>
      </c>
      <c r="AO35" s="62" t="s">
        <v>1486</v>
      </c>
      <c r="AP35" s="62" t="s">
        <v>1487</v>
      </c>
      <c r="AQ35" s="63" t="s">
        <v>1488</v>
      </c>
      <c r="AR35" s="60" t="s">
        <v>1489</v>
      </c>
      <c r="AS35" s="62" t="s">
        <v>1490</v>
      </c>
      <c r="AT35" s="62" t="s">
        <v>1491</v>
      </c>
      <c r="AU35" s="62" t="s">
        <v>1492</v>
      </c>
      <c r="AV35" s="62" t="s">
        <v>1493</v>
      </c>
      <c r="AW35" s="63" t="s">
        <v>1494</v>
      </c>
      <c r="AX35" s="60" t="s">
        <v>1495</v>
      </c>
      <c r="AY35" s="63" t="s">
        <v>1496</v>
      </c>
      <c r="AZ35" s="57" t="n">
        <v>9</v>
      </c>
      <c r="BA35" s="74" t="n">
        <v>22</v>
      </c>
      <c r="BB35" s="77" t="s">
        <v>1497</v>
      </c>
      <c r="BC35" s="76" t="n">
        <v>0</v>
      </c>
      <c r="BD35" s="76" t="n">
        <f aca="false">_xlfn.RANK.EQ(BC35,$BC$14:$BC$53,0)</f>
        <v>10</v>
      </c>
    </row>
    <row r="36" customFormat="false" ht="18" hidden="false" customHeight="true" outlineLevel="0" collapsed="false">
      <c r="A36" s="100"/>
      <c r="B36" s="78" t="n">
        <v>31</v>
      </c>
      <c r="C36" s="102" t="s">
        <v>1498</v>
      </c>
      <c r="D36" s="84" t="s">
        <v>1499</v>
      </c>
      <c r="E36" s="85" t="s">
        <v>1500</v>
      </c>
      <c r="F36" s="85" t="s">
        <v>1501</v>
      </c>
      <c r="G36" s="85" t="s">
        <v>1502</v>
      </c>
      <c r="H36" s="85" t="s">
        <v>1503</v>
      </c>
      <c r="I36" s="85" t="s">
        <v>1504</v>
      </c>
      <c r="J36" s="85" t="s">
        <v>1505</v>
      </c>
      <c r="K36" s="85" t="s">
        <v>1506</v>
      </c>
      <c r="L36" s="85" t="s">
        <v>1507</v>
      </c>
      <c r="M36" s="85" t="s">
        <v>1508</v>
      </c>
      <c r="N36" s="86" t="s">
        <v>1509</v>
      </c>
      <c r="O36" s="84" t="s">
        <v>1510</v>
      </c>
      <c r="P36" s="85" t="s">
        <v>1511</v>
      </c>
      <c r="Q36" s="85" t="s">
        <v>1512</v>
      </c>
      <c r="R36" s="85" t="s">
        <v>1513</v>
      </c>
      <c r="S36" s="85" t="s">
        <v>1514</v>
      </c>
      <c r="T36" s="85" t="s">
        <v>1515</v>
      </c>
      <c r="U36" s="85" t="s">
        <v>1516</v>
      </c>
      <c r="V36" s="85" t="s">
        <v>1517</v>
      </c>
      <c r="W36" s="85" t="s">
        <v>1518</v>
      </c>
      <c r="X36" s="85" t="s">
        <v>1519</v>
      </c>
      <c r="Y36" s="97" t="s">
        <v>1520</v>
      </c>
      <c r="Z36" s="103" t="s">
        <v>1521</v>
      </c>
      <c r="AA36" s="78" t="s">
        <v>1522</v>
      </c>
      <c r="AB36" s="97" t="s">
        <v>1523</v>
      </c>
      <c r="AC36" s="97" t="s">
        <v>1524</v>
      </c>
      <c r="AD36" s="97" t="s">
        <v>1525</v>
      </c>
      <c r="AE36" s="97" t="s">
        <v>1526</v>
      </c>
      <c r="AF36" s="97" t="s">
        <v>1527</v>
      </c>
      <c r="AG36" s="97" t="s">
        <v>1528</v>
      </c>
      <c r="AH36" s="98"/>
      <c r="AI36" s="78" t="s">
        <v>1529</v>
      </c>
      <c r="AJ36" s="97" t="s">
        <v>1530</v>
      </c>
      <c r="AK36" s="97" t="s">
        <v>1531</v>
      </c>
      <c r="AL36" s="97" t="s">
        <v>1532</v>
      </c>
      <c r="AM36" s="97" t="s">
        <v>1533</v>
      </c>
      <c r="AN36" s="97" t="s">
        <v>1534</v>
      </c>
      <c r="AO36" s="97" t="s">
        <v>1535</v>
      </c>
      <c r="AP36" s="97" t="s">
        <v>1536</v>
      </c>
      <c r="AQ36" s="103" t="s">
        <v>1537</v>
      </c>
      <c r="AR36" s="78" t="s">
        <v>1538</v>
      </c>
      <c r="AS36" s="97" t="s">
        <v>1539</v>
      </c>
      <c r="AT36" s="97" t="s">
        <v>1540</v>
      </c>
      <c r="AU36" s="97" t="s">
        <v>1541</v>
      </c>
      <c r="AV36" s="97" t="s">
        <v>1542</v>
      </c>
      <c r="AW36" s="103" t="s">
        <v>1543</v>
      </c>
      <c r="AX36" s="78" t="s">
        <v>1544</v>
      </c>
      <c r="AY36" s="103" t="s">
        <v>1545</v>
      </c>
      <c r="AZ36" s="57" t="n">
        <v>20</v>
      </c>
      <c r="BA36" s="74" t="n">
        <v>23</v>
      </c>
      <c r="BB36" s="77" t="s">
        <v>1546</v>
      </c>
      <c r="BC36" s="76" t="n">
        <v>0</v>
      </c>
      <c r="BD36" s="76" t="n">
        <f aca="false">_xlfn.RANK.EQ(BC36,$BC$14:$BC$53,0)</f>
        <v>10</v>
      </c>
    </row>
    <row r="37" customFormat="false" ht="18" hidden="false" customHeight="true" outlineLevel="0" collapsed="false">
      <c r="A37" s="104" t="s">
        <v>3</v>
      </c>
      <c r="B37" s="88" t="n">
        <v>32</v>
      </c>
      <c r="C37" s="91" t="s">
        <v>37</v>
      </c>
      <c r="D37" s="88" t="s">
        <v>1547</v>
      </c>
      <c r="E37" s="90" t="s">
        <v>1548</v>
      </c>
      <c r="F37" s="90" t="s">
        <v>1549</v>
      </c>
      <c r="G37" s="90" t="s">
        <v>1550</v>
      </c>
      <c r="H37" s="90" t="s">
        <v>1551</v>
      </c>
      <c r="I37" s="90" t="s">
        <v>1552</v>
      </c>
      <c r="J37" s="90" t="s">
        <v>1553</v>
      </c>
      <c r="K37" s="90" t="s">
        <v>1554</v>
      </c>
      <c r="L37" s="90" t="s">
        <v>1555</v>
      </c>
      <c r="M37" s="90" t="s">
        <v>1556</v>
      </c>
      <c r="N37" s="91" t="s">
        <v>1557</v>
      </c>
      <c r="O37" s="88" t="s">
        <v>1558</v>
      </c>
      <c r="P37" s="90" t="s">
        <v>1559</v>
      </c>
      <c r="Q37" s="90" t="s">
        <v>1560</v>
      </c>
      <c r="R37" s="90" t="s">
        <v>1561</v>
      </c>
      <c r="S37" s="90" t="s">
        <v>1562</v>
      </c>
      <c r="T37" s="90" t="s">
        <v>1563</v>
      </c>
      <c r="U37" s="90" t="s">
        <v>1564</v>
      </c>
      <c r="V37" s="90" t="s">
        <v>1565</v>
      </c>
      <c r="W37" s="90" t="s">
        <v>1566</v>
      </c>
      <c r="X37" s="90" t="s">
        <v>1567</v>
      </c>
      <c r="Y37" s="90" t="s">
        <v>1568</v>
      </c>
      <c r="Z37" s="91" t="s">
        <v>1569</v>
      </c>
      <c r="AA37" s="88" t="s">
        <v>1570</v>
      </c>
      <c r="AB37" s="90" t="s">
        <v>1571</v>
      </c>
      <c r="AC37" s="90" t="s">
        <v>1572</v>
      </c>
      <c r="AD37" s="90" t="s">
        <v>1573</v>
      </c>
      <c r="AE37" s="90" t="s">
        <v>1574</v>
      </c>
      <c r="AF37" s="90" t="s">
        <v>1575</v>
      </c>
      <c r="AG37" s="90" t="s">
        <v>1576</v>
      </c>
      <c r="AH37" s="91" t="s">
        <v>1577</v>
      </c>
      <c r="AI37" s="53"/>
      <c r="AJ37" s="90" t="s">
        <v>1578</v>
      </c>
      <c r="AK37" s="90" t="s">
        <v>1579</v>
      </c>
      <c r="AL37" s="90" t="s">
        <v>1580</v>
      </c>
      <c r="AM37" s="90" t="s">
        <v>1581</v>
      </c>
      <c r="AN37" s="90" t="s">
        <v>1582</v>
      </c>
      <c r="AO37" s="90" t="s">
        <v>1583</v>
      </c>
      <c r="AP37" s="90" t="s">
        <v>1584</v>
      </c>
      <c r="AQ37" s="91" t="s">
        <v>1585</v>
      </c>
      <c r="AR37" s="88" t="s">
        <v>1586</v>
      </c>
      <c r="AS37" s="90" t="s">
        <v>1587</v>
      </c>
      <c r="AT37" s="90" t="s">
        <v>1588</v>
      </c>
      <c r="AU37" s="90" t="s">
        <v>1589</v>
      </c>
      <c r="AV37" s="90" t="s">
        <v>1590</v>
      </c>
      <c r="AW37" s="91" t="s">
        <v>1591</v>
      </c>
      <c r="AX37" s="88" t="s">
        <v>1592</v>
      </c>
      <c r="AY37" s="91" t="s">
        <v>1593</v>
      </c>
      <c r="AZ37" s="57" t="n">
        <v>23</v>
      </c>
      <c r="BA37" s="74" t="n">
        <v>24</v>
      </c>
      <c r="BB37" s="77" t="s">
        <v>1594</v>
      </c>
      <c r="BC37" s="76" t="n">
        <v>0</v>
      </c>
      <c r="BD37" s="76" t="n">
        <f aca="false">_xlfn.RANK.EQ(BC37,$BC$14:$BC$53,0)</f>
        <v>10</v>
      </c>
    </row>
    <row r="38" customFormat="false" ht="18" hidden="false" customHeight="true" outlineLevel="0" collapsed="false">
      <c r="A38" s="104"/>
      <c r="B38" s="64" t="n">
        <v>33</v>
      </c>
      <c r="C38" s="101" t="s">
        <v>38</v>
      </c>
      <c r="D38" s="66" t="s">
        <v>1595</v>
      </c>
      <c r="E38" s="68" t="s">
        <v>1596</v>
      </c>
      <c r="F38" s="68" t="s">
        <v>1597</v>
      </c>
      <c r="G38" s="68" t="s">
        <v>1598</v>
      </c>
      <c r="H38" s="68" t="s">
        <v>1599</v>
      </c>
      <c r="I38" s="68" t="s">
        <v>1600</v>
      </c>
      <c r="J38" s="68" t="s">
        <v>1601</v>
      </c>
      <c r="K38" s="68" t="s">
        <v>1602</v>
      </c>
      <c r="L38" s="68" t="s">
        <v>1603</v>
      </c>
      <c r="M38" s="68" t="s">
        <v>1604</v>
      </c>
      <c r="N38" s="69" t="s">
        <v>1605</v>
      </c>
      <c r="O38" s="66" t="s">
        <v>1606</v>
      </c>
      <c r="P38" s="68" t="s">
        <v>1607</v>
      </c>
      <c r="Q38" s="68" t="s">
        <v>1608</v>
      </c>
      <c r="R38" s="68" t="s">
        <v>1609</v>
      </c>
      <c r="S38" s="68" t="s">
        <v>1610</v>
      </c>
      <c r="T38" s="68" t="s">
        <v>1611</v>
      </c>
      <c r="U38" s="68" t="s">
        <v>1612</v>
      </c>
      <c r="V38" s="68" t="s">
        <v>1613</v>
      </c>
      <c r="W38" s="68" t="s">
        <v>1614</v>
      </c>
      <c r="X38" s="68" t="s">
        <v>1615</v>
      </c>
      <c r="Y38" s="67" t="s">
        <v>1616</v>
      </c>
      <c r="Z38" s="92" t="s">
        <v>1617</v>
      </c>
      <c r="AA38" s="64" t="s">
        <v>1618</v>
      </c>
      <c r="AB38" s="67" t="s">
        <v>1619</v>
      </c>
      <c r="AC38" s="67" t="s">
        <v>1620</v>
      </c>
      <c r="AD38" s="67" t="s">
        <v>1621</v>
      </c>
      <c r="AE38" s="67" t="s">
        <v>1622</v>
      </c>
      <c r="AF38" s="67" t="s">
        <v>1623</v>
      </c>
      <c r="AG38" s="67" t="s">
        <v>1624</v>
      </c>
      <c r="AH38" s="92" t="s">
        <v>1625</v>
      </c>
      <c r="AI38" s="64" t="s">
        <v>1626</v>
      </c>
      <c r="AJ38" s="61"/>
      <c r="AK38" s="67" t="s">
        <v>1627</v>
      </c>
      <c r="AL38" s="67" t="s">
        <v>1628</v>
      </c>
      <c r="AM38" s="67" t="s">
        <v>1629</v>
      </c>
      <c r="AN38" s="67" t="s">
        <v>1630</v>
      </c>
      <c r="AO38" s="67" t="s">
        <v>1631</v>
      </c>
      <c r="AP38" s="67" t="s">
        <v>1632</v>
      </c>
      <c r="AQ38" s="92" t="s">
        <v>1633</v>
      </c>
      <c r="AR38" s="64" t="s">
        <v>1634</v>
      </c>
      <c r="AS38" s="67" t="s">
        <v>1635</v>
      </c>
      <c r="AT38" s="67" t="s">
        <v>1636</v>
      </c>
      <c r="AU38" s="67" t="s">
        <v>1637</v>
      </c>
      <c r="AV38" s="67" t="s">
        <v>1638</v>
      </c>
      <c r="AW38" s="92" t="s">
        <v>1639</v>
      </c>
      <c r="AX38" s="64" t="s">
        <v>1640</v>
      </c>
      <c r="AY38" s="92" t="s">
        <v>1641</v>
      </c>
      <c r="AZ38" s="57" t="n">
        <v>23</v>
      </c>
      <c r="BA38" s="74" t="n">
        <v>25</v>
      </c>
      <c r="BB38" s="77" t="s">
        <v>1642</v>
      </c>
      <c r="BC38" s="76" t="n">
        <v>0</v>
      </c>
      <c r="BD38" s="76" t="n">
        <f aca="false">_xlfn.RANK.EQ(BC38,$BC$14:$BC$53,0)</f>
        <v>10</v>
      </c>
    </row>
    <row r="39" customFormat="false" ht="18" hidden="false" customHeight="true" outlineLevel="0" collapsed="false">
      <c r="A39" s="104"/>
      <c r="B39" s="60" t="n">
        <v>34</v>
      </c>
      <c r="C39" s="63" t="s">
        <v>1643</v>
      </c>
      <c r="D39" s="60" t="s">
        <v>1644</v>
      </c>
      <c r="E39" s="62" t="s">
        <v>1645</v>
      </c>
      <c r="F39" s="62" t="s">
        <v>1646</v>
      </c>
      <c r="G39" s="62" t="s">
        <v>1647</v>
      </c>
      <c r="H39" s="62" t="s">
        <v>1648</v>
      </c>
      <c r="I39" s="62" t="s">
        <v>1649</v>
      </c>
      <c r="J39" s="62" t="s">
        <v>1650</v>
      </c>
      <c r="K39" s="62" t="s">
        <v>1651</v>
      </c>
      <c r="L39" s="62" t="s">
        <v>1652</v>
      </c>
      <c r="M39" s="62" t="s">
        <v>1653</v>
      </c>
      <c r="N39" s="63" t="s">
        <v>1654</v>
      </c>
      <c r="O39" s="60" t="s">
        <v>1655</v>
      </c>
      <c r="P39" s="62" t="s">
        <v>1656</v>
      </c>
      <c r="Q39" s="62" t="s">
        <v>1657</v>
      </c>
      <c r="R39" s="62" t="s">
        <v>1658</v>
      </c>
      <c r="S39" s="62" t="s">
        <v>1659</v>
      </c>
      <c r="T39" s="62" t="s">
        <v>1660</v>
      </c>
      <c r="U39" s="62" t="s">
        <v>1661</v>
      </c>
      <c r="V39" s="62" t="s">
        <v>1662</v>
      </c>
      <c r="W39" s="62" t="s">
        <v>1663</v>
      </c>
      <c r="X39" s="62" t="s">
        <v>1664</v>
      </c>
      <c r="Y39" s="62" t="s">
        <v>1665</v>
      </c>
      <c r="Z39" s="63" t="s">
        <v>1666</v>
      </c>
      <c r="AA39" s="60" t="s">
        <v>1667</v>
      </c>
      <c r="AB39" s="62" t="s">
        <v>1668</v>
      </c>
      <c r="AC39" s="62" t="s">
        <v>1669</v>
      </c>
      <c r="AD39" s="62" t="s">
        <v>1670</v>
      </c>
      <c r="AE39" s="62" t="s">
        <v>1671</v>
      </c>
      <c r="AF39" s="62" t="s">
        <v>1672</v>
      </c>
      <c r="AG39" s="62" t="s">
        <v>1673</v>
      </c>
      <c r="AH39" s="63" t="s">
        <v>1674</v>
      </c>
      <c r="AI39" s="60" t="s">
        <v>1675</v>
      </c>
      <c r="AJ39" s="62" t="s">
        <v>1676</v>
      </c>
      <c r="AK39" s="61"/>
      <c r="AL39" s="62" t="s">
        <v>1677</v>
      </c>
      <c r="AM39" s="62" t="s">
        <v>1678</v>
      </c>
      <c r="AN39" s="62" t="s">
        <v>1679</v>
      </c>
      <c r="AO39" s="62" t="s">
        <v>1680</v>
      </c>
      <c r="AP39" s="62" t="s">
        <v>1681</v>
      </c>
      <c r="AQ39" s="63" t="s">
        <v>1682</v>
      </c>
      <c r="AR39" s="60" t="s">
        <v>1683</v>
      </c>
      <c r="AS39" s="62" t="s">
        <v>1684</v>
      </c>
      <c r="AT39" s="62" t="s">
        <v>1685</v>
      </c>
      <c r="AU39" s="62" t="s">
        <v>1686</v>
      </c>
      <c r="AV39" s="62" t="s">
        <v>1687</v>
      </c>
      <c r="AW39" s="63" t="s">
        <v>1688</v>
      </c>
      <c r="AX39" s="60" t="s">
        <v>1689</v>
      </c>
      <c r="AY39" s="63" t="s">
        <v>1690</v>
      </c>
      <c r="AZ39" s="57" t="n">
        <v>16</v>
      </c>
      <c r="BA39" s="74" t="n">
        <v>26</v>
      </c>
      <c r="BB39" s="77" t="s">
        <v>1691</v>
      </c>
      <c r="BC39" s="76" t="n">
        <v>0</v>
      </c>
      <c r="BD39" s="76" t="n">
        <f aca="false">_xlfn.RANK.EQ(BC39,$BC$14:$BC$53,0)</f>
        <v>10</v>
      </c>
    </row>
    <row r="40" customFormat="false" ht="18" hidden="false" customHeight="true" outlineLevel="0" collapsed="false">
      <c r="A40" s="104"/>
      <c r="B40" s="64" t="n">
        <v>35</v>
      </c>
      <c r="C40" s="101" t="s">
        <v>1692</v>
      </c>
      <c r="D40" s="66" t="s">
        <v>1693</v>
      </c>
      <c r="E40" s="68" t="s">
        <v>1694</v>
      </c>
      <c r="F40" s="68" t="s">
        <v>1695</v>
      </c>
      <c r="G40" s="68" t="s">
        <v>1696</v>
      </c>
      <c r="H40" s="68" t="s">
        <v>1697</v>
      </c>
      <c r="I40" s="68" t="s">
        <v>1698</v>
      </c>
      <c r="J40" s="68" t="s">
        <v>1699</v>
      </c>
      <c r="K40" s="68" t="s">
        <v>1700</v>
      </c>
      <c r="L40" s="68" t="s">
        <v>1701</v>
      </c>
      <c r="M40" s="68" t="s">
        <v>1702</v>
      </c>
      <c r="N40" s="69" t="s">
        <v>1703</v>
      </c>
      <c r="O40" s="66" t="s">
        <v>1704</v>
      </c>
      <c r="P40" s="68" t="s">
        <v>1705</v>
      </c>
      <c r="Q40" s="68" t="s">
        <v>1706</v>
      </c>
      <c r="R40" s="68" t="s">
        <v>1707</v>
      </c>
      <c r="S40" s="68" t="s">
        <v>1708</v>
      </c>
      <c r="T40" s="68" t="s">
        <v>1709</v>
      </c>
      <c r="U40" s="68" t="s">
        <v>1710</v>
      </c>
      <c r="V40" s="68" t="s">
        <v>1711</v>
      </c>
      <c r="W40" s="68" t="s">
        <v>1712</v>
      </c>
      <c r="X40" s="68" t="s">
        <v>1713</v>
      </c>
      <c r="Y40" s="67" t="s">
        <v>1714</v>
      </c>
      <c r="Z40" s="92" t="s">
        <v>1715</v>
      </c>
      <c r="AA40" s="64" t="s">
        <v>1716</v>
      </c>
      <c r="AB40" s="67" t="s">
        <v>1717</v>
      </c>
      <c r="AC40" s="67" t="s">
        <v>1718</v>
      </c>
      <c r="AD40" s="67" t="s">
        <v>1719</v>
      </c>
      <c r="AE40" s="67" t="s">
        <v>1720</v>
      </c>
      <c r="AF40" s="67" t="s">
        <v>1721</v>
      </c>
      <c r="AG40" s="67" t="s">
        <v>1722</v>
      </c>
      <c r="AH40" s="92" t="s">
        <v>1723</v>
      </c>
      <c r="AI40" s="64" t="s">
        <v>1724</v>
      </c>
      <c r="AJ40" s="67" t="s">
        <v>1725</v>
      </c>
      <c r="AK40" s="67" t="s">
        <v>1726</v>
      </c>
      <c r="AL40" s="61"/>
      <c r="AM40" s="67" t="s">
        <v>1727</v>
      </c>
      <c r="AN40" s="67" t="s">
        <v>1728</v>
      </c>
      <c r="AO40" s="67" t="s">
        <v>1729</v>
      </c>
      <c r="AP40" s="67" t="s">
        <v>1730</v>
      </c>
      <c r="AQ40" s="92" t="s">
        <v>1731</v>
      </c>
      <c r="AR40" s="64" t="s">
        <v>1732</v>
      </c>
      <c r="AS40" s="67" t="s">
        <v>1733</v>
      </c>
      <c r="AT40" s="67" t="s">
        <v>1734</v>
      </c>
      <c r="AU40" s="67" t="s">
        <v>1735</v>
      </c>
      <c r="AV40" s="67" t="s">
        <v>1736</v>
      </c>
      <c r="AW40" s="92" t="s">
        <v>1737</v>
      </c>
      <c r="AX40" s="64" t="s">
        <v>1738</v>
      </c>
      <c r="AY40" s="92" t="s">
        <v>1739</v>
      </c>
      <c r="AZ40" s="57" t="n">
        <v>15</v>
      </c>
      <c r="BA40" s="74" t="n">
        <v>27</v>
      </c>
      <c r="BB40" s="77" t="s">
        <v>1740</v>
      </c>
      <c r="BC40" s="76" t="n">
        <v>0</v>
      </c>
      <c r="BD40" s="76" t="n">
        <f aca="false">_xlfn.RANK.EQ(BC40,$BC$14:$BC$53,0)</f>
        <v>10</v>
      </c>
    </row>
    <row r="41" customFormat="false" ht="18" hidden="false" customHeight="true" outlineLevel="0" collapsed="false">
      <c r="A41" s="104"/>
      <c r="B41" s="60" t="n">
        <v>36</v>
      </c>
      <c r="C41" s="63" t="s">
        <v>41</v>
      </c>
      <c r="D41" s="60" t="s">
        <v>1741</v>
      </c>
      <c r="E41" s="62" t="s">
        <v>1742</v>
      </c>
      <c r="F41" s="62" t="s">
        <v>1743</v>
      </c>
      <c r="G41" s="62" t="s">
        <v>1744</v>
      </c>
      <c r="H41" s="62" t="s">
        <v>1745</v>
      </c>
      <c r="I41" s="62" t="s">
        <v>1746</v>
      </c>
      <c r="J41" s="62" t="s">
        <v>1747</v>
      </c>
      <c r="K41" s="62" t="s">
        <v>1748</v>
      </c>
      <c r="L41" s="62" t="s">
        <v>1749</v>
      </c>
      <c r="M41" s="62" t="s">
        <v>1750</v>
      </c>
      <c r="N41" s="63" t="s">
        <v>1751</v>
      </c>
      <c r="O41" s="60" t="s">
        <v>1752</v>
      </c>
      <c r="P41" s="62" t="s">
        <v>1753</v>
      </c>
      <c r="Q41" s="62" t="s">
        <v>1754</v>
      </c>
      <c r="R41" s="62" t="s">
        <v>1755</v>
      </c>
      <c r="S41" s="62" t="s">
        <v>1756</v>
      </c>
      <c r="T41" s="62" t="s">
        <v>1757</v>
      </c>
      <c r="U41" s="62" t="s">
        <v>1758</v>
      </c>
      <c r="V41" s="62" t="s">
        <v>1759</v>
      </c>
      <c r="W41" s="62" t="s">
        <v>1760</v>
      </c>
      <c r="X41" s="62" t="s">
        <v>1761</v>
      </c>
      <c r="Y41" s="62" t="s">
        <v>1762</v>
      </c>
      <c r="Z41" s="63" t="s">
        <v>1763</v>
      </c>
      <c r="AA41" s="60" t="s">
        <v>1764</v>
      </c>
      <c r="AB41" s="62" t="s">
        <v>1765</v>
      </c>
      <c r="AC41" s="62" t="s">
        <v>1766</v>
      </c>
      <c r="AD41" s="62" t="s">
        <v>1767</v>
      </c>
      <c r="AE41" s="62" t="s">
        <v>1768</v>
      </c>
      <c r="AF41" s="62" t="s">
        <v>1769</v>
      </c>
      <c r="AG41" s="62" t="s">
        <v>1770</v>
      </c>
      <c r="AH41" s="63" t="s">
        <v>1771</v>
      </c>
      <c r="AI41" s="60" t="s">
        <v>1772</v>
      </c>
      <c r="AJ41" s="62" t="s">
        <v>1773</v>
      </c>
      <c r="AK41" s="62" t="s">
        <v>1774</v>
      </c>
      <c r="AL41" s="62" t="s">
        <v>1775</v>
      </c>
      <c r="AM41" s="61"/>
      <c r="AN41" s="62" t="s">
        <v>1776</v>
      </c>
      <c r="AO41" s="62" t="s">
        <v>1777</v>
      </c>
      <c r="AP41" s="62" t="s">
        <v>1778</v>
      </c>
      <c r="AQ41" s="63" t="s">
        <v>1779</v>
      </c>
      <c r="AR41" s="60" t="s">
        <v>1780</v>
      </c>
      <c r="AS41" s="62" t="s">
        <v>1781</v>
      </c>
      <c r="AT41" s="62" t="s">
        <v>1782</v>
      </c>
      <c r="AU41" s="62" t="s">
        <v>1783</v>
      </c>
      <c r="AV41" s="62" t="s">
        <v>1784</v>
      </c>
      <c r="AW41" s="63" t="s">
        <v>1785</v>
      </c>
      <c r="AX41" s="60" t="s">
        <v>1786</v>
      </c>
      <c r="AY41" s="63" t="s">
        <v>1787</v>
      </c>
      <c r="AZ41" s="57" t="n">
        <v>36</v>
      </c>
      <c r="BA41" s="74" t="n">
        <v>28</v>
      </c>
      <c r="BB41" s="77" t="s">
        <v>1788</v>
      </c>
      <c r="BC41" s="76" t="n">
        <v>0</v>
      </c>
      <c r="BD41" s="76" t="n">
        <f aca="false">_xlfn.RANK.EQ(BC41,$BC$14:$BC$53,0)</f>
        <v>10</v>
      </c>
    </row>
    <row r="42" customFormat="false" ht="18" hidden="false" customHeight="true" outlineLevel="0" collapsed="false">
      <c r="A42" s="104"/>
      <c r="B42" s="64" t="n">
        <v>37</v>
      </c>
      <c r="C42" s="101" t="s">
        <v>42</v>
      </c>
      <c r="D42" s="66" t="s">
        <v>1789</v>
      </c>
      <c r="E42" s="68" t="s">
        <v>1790</v>
      </c>
      <c r="F42" s="68" t="s">
        <v>1791</v>
      </c>
      <c r="G42" s="68" t="s">
        <v>1792</v>
      </c>
      <c r="H42" s="68" t="s">
        <v>1793</v>
      </c>
      <c r="I42" s="68" t="s">
        <v>1794</v>
      </c>
      <c r="J42" s="68" t="s">
        <v>1795</v>
      </c>
      <c r="K42" s="68" t="s">
        <v>1796</v>
      </c>
      <c r="L42" s="68" t="s">
        <v>1797</v>
      </c>
      <c r="M42" s="68" t="s">
        <v>1798</v>
      </c>
      <c r="N42" s="69" t="s">
        <v>1799</v>
      </c>
      <c r="O42" s="66" t="s">
        <v>1800</v>
      </c>
      <c r="P42" s="68" t="s">
        <v>1801</v>
      </c>
      <c r="Q42" s="68" t="s">
        <v>1802</v>
      </c>
      <c r="R42" s="68" t="s">
        <v>1803</v>
      </c>
      <c r="S42" s="68" t="s">
        <v>1804</v>
      </c>
      <c r="T42" s="68" t="s">
        <v>1805</v>
      </c>
      <c r="U42" s="68" t="s">
        <v>1806</v>
      </c>
      <c r="V42" s="68" t="s">
        <v>1807</v>
      </c>
      <c r="W42" s="68" t="s">
        <v>1808</v>
      </c>
      <c r="X42" s="68" t="s">
        <v>1809</v>
      </c>
      <c r="Y42" s="67" t="s">
        <v>1810</v>
      </c>
      <c r="Z42" s="92" t="s">
        <v>1811</v>
      </c>
      <c r="AA42" s="64" t="s">
        <v>1812</v>
      </c>
      <c r="AB42" s="67" t="s">
        <v>1813</v>
      </c>
      <c r="AC42" s="67" t="s">
        <v>1814</v>
      </c>
      <c r="AD42" s="67" t="s">
        <v>1815</v>
      </c>
      <c r="AE42" s="67" t="s">
        <v>1816</v>
      </c>
      <c r="AF42" s="67" t="s">
        <v>1817</v>
      </c>
      <c r="AG42" s="67" t="s">
        <v>1818</v>
      </c>
      <c r="AH42" s="92" t="s">
        <v>1819</v>
      </c>
      <c r="AI42" s="64" t="s">
        <v>1820</v>
      </c>
      <c r="AJ42" s="67" t="s">
        <v>1821</v>
      </c>
      <c r="AK42" s="67" t="s">
        <v>1822</v>
      </c>
      <c r="AL42" s="67" t="s">
        <v>1823</v>
      </c>
      <c r="AM42" s="67" t="s">
        <v>1824</v>
      </c>
      <c r="AN42" s="61"/>
      <c r="AO42" s="67" t="s">
        <v>1825</v>
      </c>
      <c r="AP42" s="67" t="s">
        <v>1826</v>
      </c>
      <c r="AQ42" s="92" t="s">
        <v>1827</v>
      </c>
      <c r="AR42" s="64" t="s">
        <v>1828</v>
      </c>
      <c r="AS42" s="67" t="s">
        <v>1829</v>
      </c>
      <c r="AT42" s="67" t="s">
        <v>1830</v>
      </c>
      <c r="AU42" s="67" t="s">
        <v>1831</v>
      </c>
      <c r="AV42" s="67" t="s">
        <v>1832</v>
      </c>
      <c r="AW42" s="92" t="s">
        <v>1833</v>
      </c>
      <c r="AX42" s="64" t="s">
        <v>1834</v>
      </c>
      <c r="AY42" s="92" t="s">
        <v>1835</v>
      </c>
      <c r="AZ42" s="57" t="n">
        <v>19</v>
      </c>
      <c r="BA42" s="74" t="n">
        <v>29</v>
      </c>
      <c r="BB42" s="77" t="s">
        <v>1836</v>
      </c>
      <c r="BC42" s="76" t="n">
        <v>0</v>
      </c>
      <c r="BD42" s="76" t="n">
        <f aca="false">_xlfn.RANK.EQ(BC42,$BC$14:$BC$53,0)</f>
        <v>10</v>
      </c>
    </row>
    <row r="43" customFormat="false" ht="18" hidden="false" customHeight="true" outlineLevel="0" collapsed="false">
      <c r="A43" s="104"/>
      <c r="B43" s="60" t="n">
        <v>38</v>
      </c>
      <c r="C43" s="63" t="s">
        <v>1837</v>
      </c>
      <c r="D43" s="60" t="s">
        <v>1838</v>
      </c>
      <c r="E43" s="62" t="s">
        <v>1839</v>
      </c>
      <c r="F43" s="62" t="s">
        <v>1840</v>
      </c>
      <c r="G43" s="62" t="s">
        <v>1841</v>
      </c>
      <c r="H43" s="62" t="s">
        <v>1842</v>
      </c>
      <c r="I43" s="62" t="s">
        <v>1843</v>
      </c>
      <c r="J43" s="62" t="s">
        <v>1844</v>
      </c>
      <c r="K43" s="62" t="s">
        <v>1845</v>
      </c>
      <c r="L43" s="62" t="s">
        <v>1846</v>
      </c>
      <c r="M43" s="62" t="s">
        <v>1847</v>
      </c>
      <c r="N43" s="63" t="s">
        <v>1848</v>
      </c>
      <c r="O43" s="60" t="s">
        <v>1849</v>
      </c>
      <c r="P43" s="62" t="s">
        <v>1850</v>
      </c>
      <c r="Q43" s="62" t="s">
        <v>1851</v>
      </c>
      <c r="R43" s="62" t="s">
        <v>1852</v>
      </c>
      <c r="S43" s="62" t="s">
        <v>1853</v>
      </c>
      <c r="T43" s="62" t="s">
        <v>1854</v>
      </c>
      <c r="U43" s="62" t="s">
        <v>1855</v>
      </c>
      <c r="V43" s="62" t="s">
        <v>1856</v>
      </c>
      <c r="W43" s="62" t="s">
        <v>1857</v>
      </c>
      <c r="X43" s="62" t="s">
        <v>1858</v>
      </c>
      <c r="Y43" s="62" t="s">
        <v>1859</v>
      </c>
      <c r="Z43" s="63" t="s">
        <v>1860</v>
      </c>
      <c r="AA43" s="60" t="s">
        <v>1861</v>
      </c>
      <c r="AB43" s="62" t="s">
        <v>1862</v>
      </c>
      <c r="AC43" s="62" t="s">
        <v>1863</v>
      </c>
      <c r="AD43" s="62" t="s">
        <v>1864</v>
      </c>
      <c r="AE43" s="62" t="s">
        <v>1865</v>
      </c>
      <c r="AF43" s="62" t="s">
        <v>1866</v>
      </c>
      <c r="AG43" s="62" t="s">
        <v>1867</v>
      </c>
      <c r="AH43" s="63" t="s">
        <v>1868</v>
      </c>
      <c r="AI43" s="60" t="s">
        <v>1869</v>
      </c>
      <c r="AJ43" s="62" t="s">
        <v>1870</v>
      </c>
      <c r="AK43" s="62" t="s">
        <v>1871</v>
      </c>
      <c r="AL43" s="62" t="s">
        <v>1872</v>
      </c>
      <c r="AM43" s="62" t="s">
        <v>1873</v>
      </c>
      <c r="AN43" s="62" t="s">
        <v>1874</v>
      </c>
      <c r="AO43" s="61"/>
      <c r="AP43" s="62" t="s">
        <v>1875</v>
      </c>
      <c r="AQ43" s="63" t="s">
        <v>1876</v>
      </c>
      <c r="AR43" s="60" t="s">
        <v>1877</v>
      </c>
      <c r="AS43" s="62" t="s">
        <v>1878</v>
      </c>
      <c r="AT43" s="62" t="s">
        <v>1879</v>
      </c>
      <c r="AU43" s="62" t="s">
        <v>1880</v>
      </c>
      <c r="AV43" s="62" t="s">
        <v>1881</v>
      </c>
      <c r="AW43" s="63" t="s">
        <v>1882</v>
      </c>
      <c r="AX43" s="60" t="s">
        <v>1883</v>
      </c>
      <c r="AY43" s="63" t="s">
        <v>1884</v>
      </c>
      <c r="AZ43" s="57" t="n">
        <v>29</v>
      </c>
      <c r="BA43" s="74" t="n">
        <v>30</v>
      </c>
      <c r="BB43" s="77" t="s">
        <v>1885</v>
      </c>
      <c r="BC43" s="76" t="n">
        <v>0</v>
      </c>
      <c r="BD43" s="76" t="n">
        <f aca="false">_xlfn.RANK.EQ(BC43,$BC$14:$BC$53,0)</f>
        <v>10</v>
      </c>
    </row>
    <row r="44" customFormat="false" ht="18" hidden="false" customHeight="true" outlineLevel="0" collapsed="false">
      <c r="A44" s="104"/>
      <c r="B44" s="64" t="n">
        <v>39</v>
      </c>
      <c r="C44" s="101" t="s">
        <v>44</v>
      </c>
      <c r="D44" s="66" t="s">
        <v>1886</v>
      </c>
      <c r="E44" s="68" t="s">
        <v>1887</v>
      </c>
      <c r="F44" s="68" t="s">
        <v>1888</v>
      </c>
      <c r="G44" s="68" t="s">
        <v>1889</v>
      </c>
      <c r="H44" s="68" t="s">
        <v>1890</v>
      </c>
      <c r="I44" s="68" t="s">
        <v>1891</v>
      </c>
      <c r="J44" s="68" t="s">
        <v>1892</v>
      </c>
      <c r="K44" s="68" t="s">
        <v>1893</v>
      </c>
      <c r="L44" s="68" t="s">
        <v>1894</v>
      </c>
      <c r="M44" s="68" t="s">
        <v>1895</v>
      </c>
      <c r="N44" s="69" t="s">
        <v>1896</v>
      </c>
      <c r="O44" s="66" t="s">
        <v>1897</v>
      </c>
      <c r="P44" s="68" t="s">
        <v>1898</v>
      </c>
      <c r="Q44" s="68" t="s">
        <v>1899</v>
      </c>
      <c r="R44" s="68" t="s">
        <v>1900</v>
      </c>
      <c r="S44" s="68" t="s">
        <v>1901</v>
      </c>
      <c r="T44" s="68" t="s">
        <v>1902</v>
      </c>
      <c r="U44" s="68" t="s">
        <v>1903</v>
      </c>
      <c r="V44" s="68" t="s">
        <v>1904</v>
      </c>
      <c r="W44" s="68" t="s">
        <v>1905</v>
      </c>
      <c r="X44" s="68" t="s">
        <v>1906</v>
      </c>
      <c r="Y44" s="67" t="s">
        <v>1907</v>
      </c>
      <c r="Z44" s="92" t="s">
        <v>1908</v>
      </c>
      <c r="AA44" s="64" t="s">
        <v>1909</v>
      </c>
      <c r="AB44" s="67" t="s">
        <v>1910</v>
      </c>
      <c r="AC44" s="67" t="s">
        <v>1911</v>
      </c>
      <c r="AD44" s="67" t="s">
        <v>1912</v>
      </c>
      <c r="AE44" s="67" t="s">
        <v>1913</v>
      </c>
      <c r="AF44" s="67" t="s">
        <v>1914</v>
      </c>
      <c r="AG44" s="67" t="s">
        <v>1915</v>
      </c>
      <c r="AH44" s="92" t="s">
        <v>1916</v>
      </c>
      <c r="AI44" s="64" t="s">
        <v>1917</v>
      </c>
      <c r="AJ44" s="67" t="s">
        <v>1918</v>
      </c>
      <c r="AK44" s="67" t="s">
        <v>1919</v>
      </c>
      <c r="AL44" s="67" t="s">
        <v>1920</v>
      </c>
      <c r="AM44" s="67" t="s">
        <v>1921</v>
      </c>
      <c r="AN44" s="67" t="s">
        <v>1922</v>
      </c>
      <c r="AO44" s="67" t="s">
        <v>1923</v>
      </c>
      <c r="AP44" s="61"/>
      <c r="AQ44" s="92" t="s">
        <v>1924</v>
      </c>
      <c r="AR44" s="64" t="s">
        <v>1925</v>
      </c>
      <c r="AS44" s="67" t="s">
        <v>1926</v>
      </c>
      <c r="AT44" s="67" t="s">
        <v>1927</v>
      </c>
      <c r="AU44" s="67" t="s">
        <v>1928</v>
      </c>
      <c r="AV44" s="67" t="s">
        <v>1929</v>
      </c>
      <c r="AW44" s="92" t="s">
        <v>1930</v>
      </c>
      <c r="AX44" s="64" t="s">
        <v>1931</v>
      </c>
      <c r="AY44" s="92" t="s">
        <v>1932</v>
      </c>
      <c r="AZ44" s="57" t="n">
        <v>78</v>
      </c>
      <c r="BA44" s="74" t="n">
        <v>31</v>
      </c>
      <c r="BB44" s="75" t="s">
        <v>1933</v>
      </c>
      <c r="BC44" s="76" t="n">
        <v>1</v>
      </c>
      <c r="BD44" s="76" t="n">
        <f aca="false">_xlfn.RANK.EQ(BC44,$BC$14:$BC$53,0)</f>
        <v>2</v>
      </c>
    </row>
    <row r="45" customFormat="false" ht="18" hidden="false" customHeight="true" outlineLevel="0" collapsed="false">
      <c r="A45" s="104"/>
      <c r="B45" s="105" t="n">
        <v>40</v>
      </c>
      <c r="C45" s="106" t="s">
        <v>1934</v>
      </c>
      <c r="D45" s="105" t="s">
        <v>1935</v>
      </c>
      <c r="E45" s="107" t="s">
        <v>1936</v>
      </c>
      <c r="F45" s="107" t="s">
        <v>1937</v>
      </c>
      <c r="G45" s="107" t="s">
        <v>1938</v>
      </c>
      <c r="H45" s="107" t="s">
        <v>1939</v>
      </c>
      <c r="I45" s="107" t="s">
        <v>1940</v>
      </c>
      <c r="J45" s="107" t="s">
        <v>1941</v>
      </c>
      <c r="K45" s="107" t="s">
        <v>1942</v>
      </c>
      <c r="L45" s="107" t="s">
        <v>1943</v>
      </c>
      <c r="M45" s="107" t="s">
        <v>1944</v>
      </c>
      <c r="N45" s="108" t="s">
        <v>1945</v>
      </c>
      <c r="O45" s="105" t="s">
        <v>1946</v>
      </c>
      <c r="P45" s="107" t="s">
        <v>1947</v>
      </c>
      <c r="Q45" s="107" t="s">
        <v>1948</v>
      </c>
      <c r="R45" s="107" t="s">
        <v>1949</v>
      </c>
      <c r="S45" s="107" t="s">
        <v>1950</v>
      </c>
      <c r="T45" s="107" t="s">
        <v>1951</v>
      </c>
      <c r="U45" s="107" t="s">
        <v>1952</v>
      </c>
      <c r="V45" s="107" t="s">
        <v>1953</v>
      </c>
      <c r="W45" s="107" t="s">
        <v>1954</v>
      </c>
      <c r="X45" s="107" t="s">
        <v>1955</v>
      </c>
      <c r="Y45" s="107" t="s">
        <v>1956</v>
      </c>
      <c r="Z45" s="108" t="s">
        <v>1957</v>
      </c>
      <c r="AA45" s="105" t="s">
        <v>1958</v>
      </c>
      <c r="AB45" s="107" t="s">
        <v>1959</v>
      </c>
      <c r="AC45" s="107" t="s">
        <v>1960</v>
      </c>
      <c r="AD45" s="107" t="s">
        <v>1961</v>
      </c>
      <c r="AE45" s="107" t="s">
        <v>1962</v>
      </c>
      <c r="AF45" s="107" t="s">
        <v>1963</v>
      </c>
      <c r="AG45" s="107" t="s">
        <v>1964</v>
      </c>
      <c r="AH45" s="108" t="s">
        <v>1965</v>
      </c>
      <c r="AI45" s="105" t="s">
        <v>1966</v>
      </c>
      <c r="AJ45" s="107" t="s">
        <v>1967</v>
      </c>
      <c r="AK45" s="107" t="s">
        <v>1968</v>
      </c>
      <c r="AL45" s="107" t="s">
        <v>1969</v>
      </c>
      <c r="AM45" s="107" t="s">
        <v>1970</v>
      </c>
      <c r="AN45" s="107" t="s">
        <v>1971</v>
      </c>
      <c r="AO45" s="107" t="s">
        <v>1972</v>
      </c>
      <c r="AP45" s="107" t="s">
        <v>1973</v>
      </c>
      <c r="AQ45" s="98"/>
      <c r="AR45" s="105" t="s">
        <v>1974</v>
      </c>
      <c r="AS45" s="107" t="s">
        <v>1975</v>
      </c>
      <c r="AT45" s="107" t="s">
        <v>1976</v>
      </c>
      <c r="AU45" s="107" t="s">
        <v>1977</v>
      </c>
      <c r="AV45" s="107" t="s">
        <v>1978</v>
      </c>
      <c r="AW45" s="108" t="s">
        <v>1979</v>
      </c>
      <c r="AX45" s="105" t="s">
        <v>1980</v>
      </c>
      <c r="AY45" s="108" t="s">
        <v>1981</v>
      </c>
      <c r="AZ45" s="57" t="n">
        <v>10</v>
      </c>
      <c r="BA45" s="74" t="n">
        <v>32</v>
      </c>
      <c r="BB45" s="75" t="s">
        <v>1982</v>
      </c>
      <c r="BC45" s="76" t="n">
        <v>1</v>
      </c>
      <c r="BD45" s="76" t="n">
        <f aca="false">_xlfn.RANK.EQ(BC45,$BC$14:$BC$53,0)</f>
        <v>2</v>
      </c>
    </row>
    <row r="46" customFormat="false" ht="18" hidden="false" customHeight="true" outlineLevel="0" collapsed="false">
      <c r="A46" s="109" t="s">
        <v>4</v>
      </c>
      <c r="B46" s="110" t="n">
        <v>41</v>
      </c>
      <c r="C46" s="111" t="s">
        <v>1983</v>
      </c>
      <c r="D46" s="56" t="s">
        <v>1984</v>
      </c>
      <c r="E46" s="54" t="s">
        <v>1985</v>
      </c>
      <c r="F46" s="54" t="s">
        <v>1986</v>
      </c>
      <c r="G46" s="54" t="s">
        <v>1987</v>
      </c>
      <c r="H46" s="54" t="s">
        <v>1988</v>
      </c>
      <c r="I46" s="54" t="s">
        <v>1989</v>
      </c>
      <c r="J46" s="54" t="s">
        <v>1990</v>
      </c>
      <c r="K46" s="54" t="s">
        <v>1991</v>
      </c>
      <c r="L46" s="54" t="s">
        <v>1992</v>
      </c>
      <c r="M46" s="54" t="s">
        <v>1993</v>
      </c>
      <c r="N46" s="55" t="s">
        <v>1994</v>
      </c>
      <c r="O46" s="56" t="s">
        <v>1995</v>
      </c>
      <c r="P46" s="54" t="s">
        <v>1996</v>
      </c>
      <c r="Q46" s="54" t="s">
        <v>1997</v>
      </c>
      <c r="R46" s="54" t="s">
        <v>1998</v>
      </c>
      <c r="S46" s="54" t="s">
        <v>1999</v>
      </c>
      <c r="T46" s="54" t="s">
        <v>2000</v>
      </c>
      <c r="U46" s="54" t="s">
        <v>2001</v>
      </c>
      <c r="V46" s="54" t="s">
        <v>2002</v>
      </c>
      <c r="W46" s="54" t="s">
        <v>2003</v>
      </c>
      <c r="X46" s="54" t="s">
        <v>2004</v>
      </c>
      <c r="Y46" s="112" t="s">
        <v>2005</v>
      </c>
      <c r="Z46" s="113" t="s">
        <v>2006</v>
      </c>
      <c r="AA46" s="110" t="s">
        <v>2007</v>
      </c>
      <c r="AB46" s="112" t="s">
        <v>2008</v>
      </c>
      <c r="AC46" s="112" t="s">
        <v>2009</v>
      </c>
      <c r="AD46" s="112" t="s">
        <v>2010</v>
      </c>
      <c r="AE46" s="112" t="s">
        <v>2011</v>
      </c>
      <c r="AF46" s="112" t="s">
        <v>2012</v>
      </c>
      <c r="AG46" s="112" t="s">
        <v>2013</v>
      </c>
      <c r="AH46" s="113" t="s">
        <v>2014</v>
      </c>
      <c r="AI46" s="110" t="s">
        <v>2015</v>
      </c>
      <c r="AJ46" s="112" t="s">
        <v>2016</v>
      </c>
      <c r="AK46" s="112" t="s">
        <v>2017</v>
      </c>
      <c r="AL46" s="112" t="s">
        <v>2018</v>
      </c>
      <c r="AM46" s="112" t="s">
        <v>2019</v>
      </c>
      <c r="AN46" s="112" t="s">
        <v>2020</v>
      </c>
      <c r="AO46" s="112" t="s">
        <v>2021</v>
      </c>
      <c r="AP46" s="112" t="s">
        <v>2022</v>
      </c>
      <c r="AQ46" s="113" t="s">
        <v>2023</v>
      </c>
      <c r="AR46" s="53"/>
      <c r="AS46" s="112" t="s">
        <v>2024</v>
      </c>
      <c r="AT46" s="112" t="s">
        <v>2025</v>
      </c>
      <c r="AU46" s="112" t="s">
        <v>2026</v>
      </c>
      <c r="AV46" s="112" t="s">
        <v>2027</v>
      </c>
      <c r="AW46" s="113" t="s">
        <v>2028</v>
      </c>
      <c r="AX46" s="110" t="s">
        <v>2029</v>
      </c>
      <c r="AY46" s="113" t="s">
        <v>2030</v>
      </c>
      <c r="AZ46" s="57" t="n">
        <v>8</v>
      </c>
      <c r="BA46" s="74" t="n">
        <v>33</v>
      </c>
      <c r="BB46" s="77" t="s">
        <v>2031</v>
      </c>
      <c r="BC46" s="76" t="n">
        <v>0</v>
      </c>
      <c r="BD46" s="76" t="n">
        <f aca="false">_xlfn.RANK.EQ(BC46,$BC$14:$BC$53,0)</f>
        <v>10</v>
      </c>
    </row>
    <row r="47" customFormat="false" ht="18" hidden="false" customHeight="true" outlineLevel="0" collapsed="false">
      <c r="A47" s="109"/>
      <c r="B47" s="60" t="n">
        <v>42</v>
      </c>
      <c r="C47" s="63" t="s">
        <v>2032</v>
      </c>
      <c r="D47" s="60" t="s">
        <v>2033</v>
      </c>
      <c r="E47" s="62" t="s">
        <v>2034</v>
      </c>
      <c r="F47" s="62" t="s">
        <v>2035</v>
      </c>
      <c r="G47" s="62" t="s">
        <v>2036</v>
      </c>
      <c r="H47" s="62" t="s">
        <v>2037</v>
      </c>
      <c r="I47" s="62" t="s">
        <v>2038</v>
      </c>
      <c r="J47" s="62" t="s">
        <v>2039</v>
      </c>
      <c r="K47" s="62" t="s">
        <v>2040</v>
      </c>
      <c r="L47" s="62" t="s">
        <v>2041</v>
      </c>
      <c r="M47" s="62" t="s">
        <v>2042</v>
      </c>
      <c r="N47" s="63" t="s">
        <v>2043</v>
      </c>
      <c r="O47" s="60" t="s">
        <v>2044</v>
      </c>
      <c r="P47" s="62" t="s">
        <v>2045</v>
      </c>
      <c r="Q47" s="62" t="s">
        <v>2046</v>
      </c>
      <c r="R47" s="62" t="s">
        <v>2047</v>
      </c>
      <c r="S47" s="62" t="s">
        <v>2048</v>
      </c>
      <c r="T47" s="62" t="s">
        <v>2049</v>
      </c>
      <c r="U47" s="62" t="s">
        <v>2050</v>
      </c>
      <c r="V47" s="62" t="s">
        <v>2051</v>
      </c>
      <c r="W47" s="62" t="s">
        <v>2052</v>
      </c>
      <c r="X47" s="62" t="s">
        <v>2053</v>
      </c>
      <c r="Y47" s="62" t="s">
        <v>2054</v>
      </c>
      <c r="Z47" s="63" t="s">
        <v>2055</v>
      </c>
      <c r="AA47" s="60" t="s">
        <v>2056</v>
      </c>
      <c r="AB47" s="62" t="s">
        <v>2057</v>
      </c>
      <c r="AC47" s="62" t="s">
        <v>2058</v>
      </c>
      <c r="AD47" s="62" t="s">
        <v>2059</v>
      </c>
      <c r="AE47" s="62" t="s">
        <v>2060</v>
      </c>
      <c r="AF47" s="62" t="s">
        <v>2061</v>
      </c>
      <c r="AG47" s="62" t="s">
        <v>2062</v>
      </c>
      <c r="AH47" s="63" t="s">
        <v>2063</v>
      </c>
      <c r="AI47" s="60" t="s">
        <v>2064</v>
      </c>
      <c r="AJ47" s="62" t="s">
        <v>2065</v>
      </c>
      <c r="AK47" s="62" t="s">
        <v>2066</v>
      </c>
      <c r="AL47" s="62" t="s">
        <v>2067</v>
      </c>
      <c r="AM47" s="62" t="s">
        <v>2068</v>
      </c>
      <c r="AN47" s="62" t="s">
        <v>2069</v>
      </c>
      <c r="AO47" s="62" t="s">
        <v>2070</v>
      </c>
      <c r="AP47" s="62" t="s">
        <v>2071</v>
      </c>
      <c r="AQ47" s="63" t="s">
        <v>2072</v>
      </c>
      <c r="AR47" s="60" t="s">
        <v>2073</v>
      </c>
      <c r="AS47" s="61"/>
      <c r="AT47" s="62" t="s">
        <v>2074</v>
      </c>
      <c r="AU47" s="62" t="s">
        <v>2075</v>
      </c>
      <c r="AV47" s="62" t="s">
        <v>2076</v>
      </c>
      <c r="AW47" s="63" t="s">
        <v>2077</v>
      </c>
      <c r="AX47" s="60" t="s">
        <v>2078</v>
      </c>
      <c r="AY47" s="63" t="s">
        <v>2079</v>
      </c>
      <c r="AZ47" s="57" t="n">
        <v>20</v>
      </c>
      <c r="BA47" s="74" t="n">
        <v>34</v>
      </c>
      <c r="BB47" s="77" t="s">
        <v>2080</v>
      </c>
      <c r="BC47" s="76" t="n">
        <v>0</v>
      </c>
      <c r="BD47" s="76" t="n">
        <f aca="false">_xlfn.RANK.EQ(BC47,$BC$14:$BC$53,0)</f>
        <v>10</v>
      </c>
    </row>
    <row r="48" customFormat="false" ht="18" hidden="false" customHeight="true" outlineLevel="0" collapsed="false">
      <c r="A48" s="109"/>
      <c r="B48" s="64" t="n">
        <v>43</v>
      </c>
      <c r="C48" s="101" t="s">
        <v>48</v>
      </c>
      <c r="D48" s="66" t="s">
        <v>2081</v>
      </c>
      <c r="E48" s="68" t="s">
        <v>2082</v>
      </c>
      <c r="F48" s="68" t="s">
        <v>2083</v>
      </c>
      <c r="G48" s="68" t="s">
        <v>2084</v>
      </c>
      <c r="H48" s="68" t="s">
        <v>2085</v>
      </c>
      <c r="I48" s="68" t="s">
        <v>2086</v>
      </c>
      <c r="J48" s="68" t="s">
        <v>2087</v>
      </c>
      <c r="K48" s="67" t="s">
        <v>2088</v>
      </c>
      <c r="L48" s="68" t="s">
        <v>2089</v>
      </c>
      <c r="M48" s="68" t="s">
        <v>2090</v>
      </c>
      <c r="N48" s="69" t="s">
        <v>2091</v>
      </c>
      <c r="O48" s="66" t="s">
        <v>2092</v>
      </c>
      <c r="P48" s="68" t="s">
        <v>2093</v>
      </c>
      <c r="Q48" s="68" t="s">
        <v>2094</v>
      </c>
      <c r="R48" s="68" t="s">
        <v>2095</v>
      </c>
      <c r="S48" s="68" t="s">
        <v>2096</v>
      </c>
      <c r="T48" s="68" t="s">
        <v>2097</v>
      </c>
      <c r="U48" s="68" t="s">
        <v>2098</v>
      </c>
      <c r="V48" s="68" t="s">
        <v>2099</v>
      </c>
      <c r="W48" s="68" t="s">
        <v>2100</v>
      </c>
      <c r="X48" s="68" t="s">
        <v>2101</v>
      </c>
      <c r="Y48" s="67" t="s">
        <v>2102</v>
      </c>
      <c r="Z48" s="92" t="s">
        <v>2103</v>
      </c>
      <c r="AA48" s="64" t="s">
        <v>2104</v>
      </c>
      <c r="AB48" s="67" t="s">
        <v>2105</v>
      </c>
      <c r="AC48" s="67" t="s">
        <v>2106</v>
      </c>
      <c r="AD48" s="67" t="s">
        <v>2107</v>
      </c>
      <c r="AE48" s="67" t="s">
        <v>2108</v>
      </c>
      <c r="AF48" s="67" t="s">
        <v>2109</v>
      </c>
      <c r="AG48" s="67" t="s">
        <v>2110</v>
      </c>
      <c r="AH48" s="92" t="s">
        <v>2111</v>
      </c>
      <c r="AI48" s="64" t="s">
        <v>2112</v>
      </c>
      <c r="AJ48" s="67" t="s">
        <v>2113</v>
      </c>
      <c r="AK48" s="67" t="s">
        <v>2114</v>
      </c>
      <c r="AL48" s="67" t="s">
        <v>2115</v>
      </c>
      <c r="AM48" s="67" t="s">
        <v>2116</v>
      </c>
      <c r="AN48" s="67" t="s">
        <v>2117</v>
      </c>
      <c r="AO48" s="67" t="s">
        <v>2118</v>
      </c>
      <c r="AP48" s="67" t="s">
        <v>2119</v>
      </c>
      <c r="AQ48" s="92" t="s">
        <v>2120</v>
      </c>
      <c r="AR48" s="64" t="s">
        <v>2121</v>
      </c>
      <c r="AS48" s="67" t="s">
        <v>2122</v>
      </c>
      <c r="AT48" s="61"/>
      <c r="AU48" s="67" t="s">
        <v>2123</v>
      </c>
      <c r="AV48" s="67" t="s">
        <v>2124</v>
      </c>
      <c r="AW48" s="92" t="s">
        <v>2125</v>
      </c>
      <c r="AX48" s="64" t="s">
        <v>2126</v>
      </c>
      <c r="AY48" s="92" t="s">
        <v>2127</v>
      </c>
      <c r="AZ48" s="57" t="n">
        <v>8</v>
      </c>
      <c r="BA48" s="74" t="n">
        <v>35</v>
      </c>
      <c r="BB48" s="114" t="s">
        <v>2128</v>
      </c>
      <c r="BC48" s="76" t="n">
        <v>10</v>
      </c>
      <c r="BD48" s="76" t="n">
        <f aca="false">_xlfn.RANK.EQ(BC48,$BC$14:$BC$53,0)</f>
        <v>1</v>
      </c>
    </row>
    <row r="49" customFormat="false" ht="18" hidden="false" customHeight="true" outlineLevel="0" collapsed="false">
      <c r="A49" s="109"/>
      <c r="B49" s="60" t="n">
        <v>44</v>
      </c>
      <c r="C49" s="63" t="s">
        <v>49</v>
      </c>
      <c r="D49" s="60" t="s">
        <v>2129</v>
      </c>
      <c r="E49" s="62" t="s">
        <v>2130</v>
      </c>
      <c r="F49" s="62" t="s">
        <v>2131</v>
      </c>
      <c r="G49" s="62" t="s">
        <v>2132</v>
      </c>
      <c r="H49" s="62" t="s">
        <v>2133</v>
      </c>
      <c r="I49" s="62" t="s">
        <v>2134</v>
      </c>
      <c r="J49" s="62" t="s">
        <v>2135</v>
      </c>
      <c r="K49" s="62" t="s">
        <v>2136</v>
      </c>
      <c r="L49" s="62" t="s">
        <v>2137</v>
      </c>
      <c r="M49" s="62" t="s">
        <v>2138</v>
      </c>
      <c r="N49" s="63" t="s">
        <v>2139</v>
      </c>
      <c r="O49" s="60" t="s">
        <v>2140</v>
      </c>
      <c r="P49" s="62" t="s">
        <v>2141</v>
      </c>
      <c r="Q49" s="62" t="s">
        <v>2142</v>
      </c>
      <c r="R49" s="62" t="s">
        <v>2143</v>
      </c>
      <c r="S49" s="62" t="s">
        <v>2144</v>
      </c>
      <c r="T49" s="62" t="s">
        <v>2145</v>
      </c>
      <c r="U49" s="62" t="s">
        <v>2146</v>
      </c>
      <c r="V49" s="62" t="s">
        <v>2147</v>
      </c>
      <c r="W49" s="62" t="s">
        <v>2148</v>
      </c>
      <c r="X49" s="62" t="s">
        <v>2149</v>
      </c>
      <c r="Y49" s="62" t="s">
        <v>2150</v>
      </c>
      <c r="Z49" s="63" t="s">
        <v>2151</v>
      </c>
      <c r="AA49" s="60" t="s">
        <v>2152</v>
      </c>
      <c r="AB49" s="62" t="s">
        <v>2153</v>
      </c>
      <c r="AC49" s="62" t="s">
        <v>2154</v>
      </c>
      <c r="AD49" s="62" t="s">
        <v>2155</v>
      </c>
      <c r="AE49" s="62" t="s">
        <v>2156</v>
      </c>
      <c r="AF49" s="62" t="s">
        <v>2157</v>
      </c>
      <c r="AG49" s="62" t="s">
        <v>2158</v>
      </c>
      <c r="AH49" s="63" t="s">
        <v>2159</v>
      </c>
      <c r="AI49" s="60" t="s">
        <v>2160</v>
      </c>
      <c r="AJ49" s="62" t="s">
        <v>2161</v>
      </c>
      <c r="AK49" s="62" t="s">
        <v>2162</v>
      </c>
      <c r="AL49" s="62" t="s">
        <v>2163</v>
      </c>
      <c r="AM49" s="62" t="s">
        <v>2164</v>
      </c>
      <c r="AN49" s="62" t="s">
        <v>2165</v>
      </c>
      <c r="AO49" s="62" t="s">
        <v>2166</v>
      </c>
      <c r="AP49" s="62" t="s">
        <v>2167</v>
      </c>
      <c r="AQ49" s="63" t="s">
        <v>2168</v>
      </c>
      <c r="AR49" s="60" t="s">
        <v>2169</v>
      </c>
      <c r="AS49" s="62" t="s">
        <v>2170</v>
      </c>
      <c r="AT49" s="62" t="s">
        <v>2171</v>
      </c>
      <c r="AU49" s="61"/>
      <c r="AV49" s="62" t="s">
        <v>2172</v>
      </c>
      <c r="AW49" s="63" t="s">
        <v>2173</v>
      </c>
      <c r="AX49" s="60" t="s">
        <v>2174</v>
      </c>
      <c r="AY49" s="63" t="s">
        <v>2175</v>
      </c>
      <c r="AZ49" s="57" t="n">
        <v>25</v>
      </c>
      <c r="BA49" s="74" t="n">
        <v>36</v>
      </c>
      <c r="BB49" s="77" t="s">
        <v>2176</v>
      </c>
      <c r="BC49" s="76" t="n">
        <v>0</v>
      </c>
      <c r="BD49" s="76" t="n">
        <f aca="false">_xlfn.RANK.EQ(BC49,$BC$14:$BC$53,0)</f>
        <v>10</v>
      </c>
    </row>
    <row r="50" customFormat="false" ht="18" hidden="false" customHeight="true" outlineLevel="0" collapsed="false">
      <c r="A50" s="109"/>
      <c r="B50" s="64" t="n">
        <v>45</v>
      </c>
      <c r="C50" s="101" t="s">
        <v>50</v>
      </c>
      <c r="D50" s="66" t="s">
        <v>2177</v>
      </c>
      <c r="E50" s="68" t="s">
        <v>2178</v>
      </c>
      <c r="F50" s="68" t="s">
        <v>2179</v>
      </c>
      <c r="G50" s="68" t="s">
        <v>2180</v>
      </c>
      <c r="H50" s="68" t="s">
        <v>2181</v>
      </c>
      <c r="I50" s="68" t="s">
        <v>2182</v>
      </c>
      <c r="J50" s="68" t="s">
        <v>2183</v>
      </c>
      <c r="K50" s="68" t="s">
        <v>2184</v>
      </c>
      <c r="L50" s="68" t="s">
        <v>2185</v>
      </c>
      <c r="M50" s="68" t="s">
        <v>2186</v>
      </c>
      <c r="N50" s="69" t="s">
        <v>2187</v>
      </c>
      <c r="O50" s="66" t="s">
        <v>2188</v>
      </c>
      <c r="P50" s="68" t="s">
        <v>2189</v>
      </c>
      <c r="Q50" s="68" t="s">
        <v>2190</v>
      </c>
      <c r="R50" s="68" t="s">
        <v>2191</v>
      </c>
      <c r="S50" s="68" t="s">
        <v>2192</v>
      </c>
      <c r="T50" s="68" t="s">
        <v>2193</v>
      </c>
      <c r="U50" s="68" t="s">
        <v>2194</v>
      </c>
      <c r="V50" s="68" t="s">
        <v>2195</v>
      </c>
      <c r="W50" s="68" t="s">
        <v>2196</v>
      </c>
      <c r="X50" s="68" t="s">
        <v>2197</v>
      </c>
      <c r="Y50" s="67" t="s">
        <v>2198</v>
      </c>
      <c r="Z50" s="92" t="s">
        <v>2199</v>
      </c>
      <c r="AA50" s="64" t="s">
        <v>2200</v>
      </c>
      <c r="AB50" s="67" t="s">
        <v>2201</v>
      </c>
      <c r="AC50" s="67" t="s">
        <v>2202</v>
      </c>
      <c r="AD50" s="67" t="s">
        <v>2203</v>
      </c>
      <c r="AE50" s="67" t="s">
        <v>2204</v>
      </c>
      <c r="AF50" s="67" t="s">
        <v>2205</v>
      </c>
      <c r="AG50" s="67" t="s">
        <v>2206</v>
      </c>
      <c r="AH50" s="92" t="s">
        <v>2207</v>
      </c>
      <c r="AI50" s="64" t="s">
        <v>2208</v>
      </c>
      <c r="AJ50" s="67" t="s">
        <v>2209</v>
      </c>
      <c r="AK50" s="67" t="s">
        <v>2210</v>
      </c>
      <c r="AL50" s="67" t="s">
        <v>2211</v>
      </c>
      <c r="AM50" s="67" t="s">
        <v>2212</v>
      </c>
      <c r="AN50" s="67" t="s">
        <v>2213</v>
      </c>
      <c r="AO50" s="67" t="s">
        <v>2214</v>
      </c>
      <c r="AP50" s="67" t="s">
        <v>2215</v>
      </c>
      <c r="AQ50" s="92" t="s">
        <v>2216</v>
      </c>
      <c r="AR50" s="64" t="s">
        <v>2217</v>
      </c>
      <c r="AS50" s="67" t="s">
        <v>2218</v>
      </c>
      <c r="AT50" s="67" t="s">
        <v>2219</v>
      </c>
      <c r="AU50" s="67" t="s">
        <v>2220</v>
      </c>
      <c r="AV50" s="61"/>
      <c r="AW50" s="92" t="s">
        <v>2221</v>
      </c>
      <c r="AX50" s="64" t="s">
        <v>2222</v>
      </c>
      <c r="AY50" s="92" t="s">
        <v>2223</v>
      </c>
      <c r="AZ50" s="57" t="n">
        <v>14</v>
      </c>
      <c r="BA50" s="74" t="n">
        <v>37</v>
      </c>
      <c r="BB50" s="77" t="s">
        <v>2224</v>
      </c>
      <c r="BC50" s="76" t="n">
        <v>0</v>
      </c>
      <c r="BD50" s="76" t="n">
        <f aca="false">_xlfn.RANK.EQ(BC50,$BC$14:$BC$53,0)</f>
        <v>10</v>
      </c>
    </row>
    <row r="51" customFormat="false" ht="18" hidden="false" customHeight="true" outlineLevel="0" collapsed="false">
      <c r="A51" s="109"/>
      <c r="B51" s="105" t="n">
        <v>46</v>
      </c>
      <c r="C51" s="108" t="s">
        <v>51</v>
      </c>
      <c r="D51" s="105" t="s">
        <v>2225</v>
      </c>
      <c r="E51" s="107" t="s">
        <v>2226</v>
      </c>
      <c r="F51" s="107" t="s">
        <v>2227</v>
      </c>
      <c r="G51" s="107" t="s">
        <v>2228</v>
      </c>
      <c r="H51" s="107" t="s">
        <v>2229</v>
      </c>
      <c r="I51" s="107" t="s">
        <v>2230</v>
      </c>
      <c r="J51" s="107" t="s">
        <v>2231</v>
      </c>
      <c r="K51" s="107" t="s">
        <v>2232</v>
      </c>
      <c r="L51" s="107" t="s">
        <v>2233</v>
      </c>
      <c r="M51" s="107" t="s">
        <v>2234</v>
      </c>
      <c r="N51" s="108" t="s">
        <v>2235</v>
      </c>
      <c r="O51" s="105" t="s">
        <v>2236</v>
      </c>
      <c r="P51" s="107" t="s">
        <v>2237</v>
      </c>
      <c r="Q51" s="107" t="s">
        <v>2238</v>
      </c>
      <c r="R51" s="107" t="s">
        <v>2239</v>
      </c>
      <c r="S51" s="107" t="s">
        <v>2240</v>
      </c>
      <c r="T51" s="107" t="s">
        <v>2241</v>
      </c>
      <c r="U51" s="107" t="s">
        <v>2242</v>
      </c>
      <c r="V51" s="107" t="s">
        <v>2243</v>
      </c>
      <c r="W51" s="107" t="s">
        <v>2244</v>
      </c>
      <c r="X51" s="107" t="s">
        <v>2245</v>
      </c>
      <c r="Y51" s="107" t="s">
        <v>2246</v>
      </c>
      <c r="Z51" s="108" t="s">
        <v>2247</v>
      </c>
      <c r="AA51" s="105" t="s">
        <v>2248</v>
      </c>
      <c r="AB51" s="107" t="s">
        <v>2249</v>
      </c>
      <c r="AC51" s="107" t="s">
        <v>2250</v>
      </c>
      <c r="AD51" s="107" t="s">
        <v>2251</v>
      </c>
      <c r="AE51" s="107" t="s">
        <v>2252</v>
      </c>
      <c r="AF51" s="107" t="s">
        <v>2253</v>
      </c>
      <c r="AG51" s="107" t="s">
        <v>2254</v>
      </c>
      <c r="AH51" s="108" t="s">
        <v>2255</v>
      </c>
      <c r="AI51" s="105" t="s">
        <v>2256</v>
      </c>
      <c r="AJ51" s="107" t="s">
        <v>2257</v>
      </c>
      <c r="AK51" s="107" t="s">
        <v>2258</v>
      </c>
      <c r="AL51" s="107" t="s">
        <v>2259</v>
      </c>
      <c r="AM51" s="107" t="s">
        <v>2260</v>
      </c>
      <c r="AN51" s="107" t="s">
        <v>2261</v>
      </c>
      <c r="AO51" s="107" t="s">
        <v>2262</v>
      </c>
      <c r="AP51" s="107" t="s">
        <v>2263</v>
      </c>
      <c r="AQ51" s="108" t="s">
        <v>2264</v>
      </c>
      <c r="AR51" s="105" t="s">
        <v>2265</v>
      </c>
      <c r="AS51" s="107" t="s">
        <v>2266</v>
      </c>
      <c r="AT51" s="107" t="s">
        <v>2267</v>
      </c>
      <c r="AU51" s="107" t="s">
        <v>2268</v>
      </c>
      <c r="AV51" s="107" t="s">
        <v>2269</v>
      </c>
      <c r="AW51" s="98"/>
      <c r="AX51" s="105" t="s">
        <v>2270</v>
      </c>
      <c r="AY51" s="108" t="s">
        <v>2271</v>
      </c>
      <c r="AZ51" s="57" t="n">
        <v>64</v>
      </c>
      <c r="BA51" s="74" t="n">
        <v>38</v>
      </c>
      <c r="BB51" s="77" t="s">
        <v>2272</v>
      </c>
      <c r="BC51" s="76" t="n">
        <v>0</v>
      </c>
      <c r="BD51" s="76" t="n">
        <f aca="false">_xlfn.RANK.EQ(BC51,$BC$14:$BC$53,0)</f>
        <v>10</v>
      </c>
    </row>
    <row r="52" customFormat="false" ht="18" hidden="false" customHeight="true" outlineLevel="0" collapsed="false">
      <c r="A52" s="115" t="s">
        <v>2273</v>
      </c>
      <c r="B52" s="110" t="n">
        <v>47</v>
      </c>
      <c r="C52" s="111" t="s">
        <v>52</v>
      </c>
      <c r="D52" s="56" t="s">
        <v>2274</v>
      </c>
      <c r="E52" s="54" t="s">
        <v>2275</v>
      </c>
      <c r="F52" s="54" t="s">
        <v>2276</v>
      </c>
      <c r="G52" s="54" t="s">
        <v>2277</v>
      </c>
      <c r="H52" s="54" t="s">
        <v>2278</v>
      </c>
      <c r="I52" s="54" t="s">
        <v>2279</v>
      </c>
      <c r="J52" s="54" t="s">
        <v>2280</v>
      </c>
      <c r="K52" s="54" t="s">
        <v>2281</v>
      </c>
      <c r="L52" s="54" t="s">
        <v>2282</v>
      </c>
      <c r="M52" s="54" t="s">
        <v>2283</v>
      </c>
      <c r="N52" s="55" t="s">
        <v>2284</v>
      </c>
      <c r="O52" s="56" t="s">
        <v>2285</v>
      </c>
      <c r="P52" s="54" t="s">
        <v>2286</v>
      </c>
      <c r="Q52" s="54" t="s">
        <v>2287</v>
      </c>
      <c r="R52" s="54" t="s">
        <v>2288</v>
      </c>
      <c r="S52" s="54" t="s">
        <v>2289</v>
      </c>
      <c r="T52" s="54" t="s">
        <v>2290</v>
      </c>
      <c r="U52" s="54" t="s">
        <v>2291</v>
      </c>
      <c r="V52" s="54" t="s">
        <v>2292</v>
      </c>
      <c r="W52" s="54" t="s">
        <v>2293</v>
      </c>
      <c r="X52" s="54" t="s">
        <v>2294</v>
      </c>
      <c r="Y52" s="112" t="s">
        <v>2295</v>
      </c>
      <c r="Z52" s="113" t="s">
        <v>2296</v>
      </c>
      <c r="AA52" s="110" t="s">
        <v>2297</v>
      </c>
      <c r="AB52" s="112" t="s">
        <v>2298</v>
      </c>
      <c r="AC52" s="112" t="s">
        <v>2299</v>
      </c>
      <c r="AD52" s="112" t="s">
        <v>2300</v>
      </c>
      <c r="AE52" s="112" t="s">
        <v>2301</v>
      </c>
      <c r="AF52" s="112" t="s">
        <v>2302</v>
      </c>
      <c r="AG52" s="112" t="s">
        <v>2303</v>
      </c>
      <c r="AH52" s="113" t="s">
        <v>2304</v>
      </c>
      <c r="AI52" s="110" t="s">
        <v>2305</v>
      </c>
      <c r="AJ52" s="112" t="s">
        <v>2306</v>
      </c>
      <c r="AK52" s="112" t="s">
        <v>2307</v>
      </c>
      <c r="AL52" s="112" t="s">
        <v>2308</v>
      </c>
      <c r="AM52" s="112" t="s">
        <v>2309</v>
      </c>
      <c r="AN52" s="112" t="s">
        <v>2310</v>
      </c>
      <c r="AO52" s="112" t="s">
        <v>2311</v>
      </c>
      <c r="AP52" s="112" t="s">
        <v>2312</v>
      </c>
      <c r="AQ52" s="113" t="s">
        <v>2313</v>
      </c>
      <c r="AR52" s="110" t="s">
        <v>2314</v>
      </c>
      <c r="AS52" s="112" t="s">
        <v>2315</v>
      </c>
      <c r="AT52" s="112" t="s">
        <v>2316</v>
      </c>
      <c r="AU52" s="112" t="s">
        <v>2317</v>
      </c>
      <c r="AV52" s="112" t="s">
        <v>2318</v>
      </c>
      <c r="AW52" s="113" t="s">
        <v>2319</v>
      </c>
      <c r="AX52" s="53"/>
      <c r="AY52" s="113" t="s">
        <v>2320</v>
      </c>
      <c r="AZ52" s="57" t="n">
        <v>18</v>
      </c>
      <c r="BA52" s="74" t="n">
        <v>39</v>
      </c>
      <c r="BB52" s="77" t="s">
        <v>2321</v>
      </c>
      <c r="BC52" s="76" t="n">
        <v>0</v>
      </c>
      <c r="BD52" s="76" t="n">
        <f aca="false">_xlfn.RANK.EQ(BC52,$BC$14:$BC$53,0)</f>
        <v>10</v>
      </c>
    </row>
    <row r="53" customFormat="false" ht="18" hidden="false" customHeight="true" outlineLevel="0" collapsed="false">
      <c r="A53" s="115"/>
      <c r="B53" s="105" t="n">
        <v>48</v>
      </c>
      <c r="C53" s="108" t="s">
        <v>53</v>
      </c>
      <c r="D53" s="105" t="s">
        <v>2322</v>
      </c>
      <c r="E53" s="107" t="s">
        <v>2323</v>
      </c>
      <c r="F53" s="107" t="s">
        <v>2324</v>
      </c>
      <c r="G53" s="107" t="s">
        <v>2325</v>
      </c>
      <c r="H53" s="107" t="s">
        <v>2326</v>
      </c>
      <c r="I53" s="107" t="s">
        <v>2327</v>
      </c>
      <c r="J53" s="107" t="s">
        <v>2328</v>
      </c>
      <c r="K53" s="107" t="s">
        <v>2329</v>
      </c>
      <c r="L53" s="107" t="s">
        <v>2330</v>
      </c>
      <c r="M53" s="107" t="s">
        <v>2331</v>
      </c>
      <c r="N53" s="108" t="s">
        <v>2332</v>
      </c>
      <c r="O53" s="105" t="s">
        <v>2333</v>
      </c>
      <c r="P53" s="107" t="s">
        <v>2334</v>
      </c>
      <c r="Q53" s="107" t="s">
        <v>2335</v>
      </c>
      <c r="R53" s="107" t="s">
        <v>2336</v>
      </c>
      <c r="S53" s="107" t="s">
        <v>2337</v>
      </c>
      <c r="T53" s="107" t="s">
        <v>2338</v>
      </c>
      <c r="U53" s="107" t="s">
        <v>2339</v>
      </c>
      <c r="V53" s="107" t="s">
        <v>2340</v>
      </c>
      <c r="W53" s="107" t="s">
        <v>2341</v>
      </c>
      <c r="X53" s="107" t="s">
        <v>2342</v>
      </c>
      <c r="Y53" s="107" t="s">
        <v>2343</v>
      </c>
      <c r="Z53" s="108" t="s">
        <v>2344</v>
      </c>
      <c r="AA53" s="105" t="s">
        <v>2345</v>
      </c>
      <c r="AB53" s="107" t="s">
        <v>2346</v>
      </c>
      <c r="AC53" s="107" t="s">
        <v>2347</v>
      </c>
      <c r="AD53" s="107" t="s">
        <v>2348</v>
      </c>
      <c r="AE53" s="107" t="s">
        <v>2349</v>
      </c>
      <c r="AF53" s="107" t="s">
        <v>2350</v>
      </c>
      <c r="AG53" s="107" t="s">
        <v>2351</v>
      </c>
      <c r="AH53" s="108" t="s">
        <v>2352</v>
      </c>
      <c r="AI53" s="105" t="s">
        <v>2353</v>
      </c>
      <c r="AJ53" s="107" t="s">
        <v>2354</v>
      </c>
      <c r="AK53" s="107" t="s">
        <v>2355</v>
      </c>
      <c r="AL53" s="107" t="s">
        <v>2356</v>
      </c>
      <c r="AM53" s="107" t="s">
        <v>2357</v>
      </c>
      <c r="AN53" s="107" t="s">
        <v>2358</v>
      </c>
      <c r="AO53" s="107" t="s">
        <v>2359</v>
      </c>
      <c r="AP53" s="107" t="s">
        <v>2360</v>
      </c>
      <c r="AQ53" s="108" t="s">
        <v>2361</v>
      </c>
      <c r="AR53" s="105" t="s">
        <v>2362</v>
      </c>
      <c r="AS53" s="107" t="s">
        <v>2363</v>
      </c>
      <c r="AT53" s="107" t="s">
        <v>2364</v>
      </c>
      <c r="AU53" s="107" t="s">
        <v>2365</v>
      </c>
      <c r="AV53" s="107" t="s">
        <v>2366</v>
      </c>
      <c r="AW53" s="108" t="s">
        <v>2367</v>
      </c>
      <c r="AX53" s="105" t="s">
        <v>2368</v>
      </c>
      <c r="AY53" s="98"/>
      <c r="AZ53" s="57" t="n">
        <v>21</v>
      </c>
      <c r="BA53" s="74" t="n">
        <v>40</v>
      </c>
      <c r="BB53" s="75" t="s">
        <v>2369</v>
      </c>
      <c r="BC53" s="76" t="n">
        <v>1</v>
      </c>
      <c r="BD53" s="76" t="n">
        <f aca="false">_xlfn.RANK.EQ(BC53,$BC$14:$BC$53,0)</f>
        <v>2</v>
      </c>
    </row>
    <row r="54" customFormat="false" ht="12.75" hidden="false" customHeight="false" outlineLevel="0" collapsed="false">
      <c r="B54" s="48" t="n">
        <v>24</v>
      </c>
      <c r="D54" s="57" t="n">
        <v>9</v>
      </c>
      <c r="E54" s="57" t="n">
        <v>9</v>
      </c>
      <c r="F54" s="57" t="n">
        <v>20</v>
      </c>
      <c r="G54" s="57" t="n">
        <v>36</v>
      </c>
      <c r="H54" s="57" t="n">
        <v>33</v>
      </c>
      <c r="I54" s="57" t="n">
        <v>28</v>
      </c>
      <c r="J54" s="57" t="n">
        <v>74</v>
      </c>
      <c r="K54" s="57" t="n">
        <v>34</v>
      </c>
      <c r="L54" s="57" t="n">
        <v>89</v>
      </c>
      <c r="M54" s="57" t="n">
        <v>30</v>
      </c>
      <c r="N54" s="57" t="n">
        <v>135</v>
      </c>
      <c r="O54" s="57" t="n">
        <v>21</v>
      </c>
      <c r="P54" s="57" t="n">
        <v>19</v>
      </c>
      <c r="Q54" s="57" t="n">
        <v>10</v>
      </c>
      <c r="R54" s="57" t="n">
        <v>16</v>
      </c>
      <c r="S54" s="57" t="n">
        <v>15</v>
      </c>
      <c r="T54" s="57" t="n">
        <v>6</v>
      </c>
      <c r="U54" s="57" t="n">
        <v>14</v>
      </c>
      <c r="V54" s="57" t="n">
        <v>11</v>
      </c>
      <c r="W54" s="57" t="n">
        <v>22</v>
      </c>
      <c r="X54" s="57" t="n">
        <v>5</v>
      </c>
      <c r="Y54" s="57" t="n">
        <v>10</v>
      </c>
      <c r="Z54" s="57" t="n">
        <v>8</v>
      </c>
      <c r="AA54" s="57" t="n">
        <v>23</v>
      </c>
      <c r="AB54" s="57" t="n">
        <v>22</v>
      </c>
      <c r="AC54" s="57" t="n">
        <v>26</v>
      </c>
      <c r="AD54" s="57" t="n">
        <v>19</v>
      </c>
      <c r="AE54" s="57" t="n">
        <v>114</v>
      </c>
      <c r="AF54" s="57" t="n">
        <v>25</v>
      </c>
      <c r="AG54" s="57" t="n">
        <v>25</v>
      </c>
      <c r="AH54" s="57" t="n">
        <v>17</v>
      </c>
      <c r="AI54" s="57" t="n">
        <v>33</v>
      </c>
      <c r="AJ54" s="57" t="n">
        <v>30</v>
      </c>
      <c r="AK54" s="57" t="n">
        <v>35</v>
      </c>
      <c r="AL54" s="57" t="n">
        <v>8</v>
      </c>
      <c r="AM54" s="57" t="n">
        <v>16</v>
      </c>
      <c r="AN54" s="57" t="n">
        <v>37</v>
      </c>
      <c r="AO54" s="57" t="n">
        <v>17</v>
      </c>
      <c r="AP54" s="57" t="n">
        <v>122</v>
      </c>
      <c r="AQ54" s="57" t="n">
        <v>5</v>
      </c>
      <c r="AR54" s="57" t="n">
        <v>9</v>
      </c>
      <c r="AS54" s="57" t="n">
        <v>2</v>
      </c>
      <c r="AT54" s="57" t="n">
        <v>6</v>
      </c>
      <c r="AU54" s="57" t="n">
        <v>9</v>
      </c>
      <c r="AV54" s="57" t="n">
        <v>13</v>
      </c>
      <c r="AW54" s="57" t="n">
        <v>32</v>
      </c>
      <c r="AX54" s="57" t="n">
        <v>17</v>
      </c>
      <c r="AY54" s="57" t="n">
        <v>11</v>
      </c>
    </row>
    <row r="55" customFormat="false" ht="3" hidden="false" customHeight="true" outlineLevel="0" collapsed="false"/>
    <row r="56" customFormat="false" ht="11.25" hidden="false" customHeight="true" outlineLevel="0" collapsed="false">
      <c r="C56" s="1" t="s">
        <v>2370</v>
      </c>
      <c r="F56" s="1" t="s">
        <v>2371</v>
      </c>
      <c r="J56" s="1" t="s">
        <v>2372</v>
      </c>
      <c r="Z56" s="1" t="s">
        <v>2373</v>
      </c>
      <c r="AE56" s="1" t="s">
        <v>2374</v>
      </c>
      <c r="BA56" s="116" t="s">
        <v>2375</v>
      </c>
      <c r="BB56" s="116"/>
    </row>
  </sheetData>
  <mergeCells count="14">
    <mergeCell ref="D2:N3"/>
    <mergeCell ref="O2:Z3"/>
    <mergeCell ref="AA2:AH3"/>
    <mergeCell ref="AI2:AQ3"/>
    <mergeCell ref="AR2:AW3"/>
    <mergeCell ref="AX2:AY3"/>
    <mergeCell ref="A6:A16"/>
    <mergeCell ref="BA13:BB13"/>
    <mergeCell ref="A17:A28"/>
    <mergeCell ref="A29:A36"/>
    <mergeCell ref="A37:A45"/>
    <mergeCell ref="A46:A51"/>
    <mergeCell ref="A52:A53"/>
    <mergeCell ref="BA56:BB56"/>
  </mergeCells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3">
              <controlPr defaultSize="0" print="true" autoFill="0" autoPict="0">
                <anchor moveWithCells="true" sizeWithCells="false">
                  <from>
                    <xdr:col>52</xdr:col>
                    <xdr:colOff>152280</xdr:colOff>
                    <xdr:row>8</xdr:row>
                    <xdr:rowOff>76320</xdr:rowOff>
                  </from>
                  <to>
                    <xdr:col>53</xdr:col>
                    <xdr:colOff>1897560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true"/>
  </sheetPr>
  <dimension ref="A1:BJ55"/>
  <sheetViews>
    <sheetView showFormulas="false" showGridLines="false" showRowColHeaders="true" showZeros="true" rightToLeft="false" tabSelected="false" showOutlineSymbols="true" defaultGridColor="true" view="normal" topLeftCell="A34" colorId="64" zoomScale="80" zoomScaleNormal="80" zoomScalePageLayoutView="90" workbookViewId="0">
      <selection pane="topLeft" activeCell="A1" activeCellId="0" sqref="A1"/>
    </sheetView>
  </sheetViews>
  <sheetFormatPr defaultColWidth="11.42578125" defaultRowHeight="12.75" zeroHeight="false" outlineLevelRow="0" outlineLevelCol="0"/>
  <cols>
    <col collapsed="false" customWidth="true" hidden="false" outlineLevel="0" max="48" min="1" style="1" width="4.71"/>
    <col collapsed="false" customWidth="true" hidden="false" outlineLevel="0" max="49" min="49" style="1" width="3.57"/>
    <col collapsed="false" customWidth="true" hidden="false" outlineLevel="0" max="50" min="50" style="1" width="15.29"/>
    <col collapsed="false" customWidth="true" hidden="false" outlineLevel="0" max="52" min="51" style="1" width="2.86"/>
    <col collapsed="false" customWidth="true" hidden="false" outlineLevel="0" max="53" min="53" style="1" width="4.71"/>
    <col collapsed="false" customWidth="true" hidden="false" outlineLevel="0" max="54" min="54" style="1" width="3.57"/>
    <col collapsed="false" customWidth="true" hidden="false" outlineLevel="0" max="55" min="55" style="1" width="37.29"/>
    <col collapsed="false" customWidth="true" hidden="false" outlineLevel="0" max="61" min="56" style="1" width="4.71"/>
    <col collapsed="false" customWidth="true" hidden="false" outlineLevel="0" max="62" min="62" style="1" width="3.29"/>
    <col collapsed="false" customWidth="true" hidden="false" outlineLevel="0" max="63" min="63" style="1" width="30.85"/>
    <col collapsed="false" customWidth="true" hidden="false" outlineLevel="0" max="64" min="64" style="1" width="0.57"/>
    <col collapsed="false" customWidth="false" hidden="false" outlineLevel="0" max="16384" min="65" style="1" width="11.43"/>
  </cols>
  <sheetData>
    <row r="1" customFormat="false" ht="18" hidden="false" customHeight="true" outlineLevel="0" collapsed="false">
      <c r="A1" s="53" t="n">
        <v>0</v>
      </c>
      <c r="B1" s="54" t="n">
        <v>1</v>
      </c>
      <c r="C1" s="54" t="n">
        <v>1</v>
      </c>
      <c r="D1" s="54" t="n">
        <v>11</v>
      </c>
      <c r="E1" s="54" t="n">
        <v>1</v>
      </c>
      <c r="F1" s="54" t="n">
        <v>2</v>
      </c>
      <c r="G1" s="54" t="n">
        <v>0</v>
      </c>
      <c r="H1" s="54" t="n">
        <v>0</v>
      </c>
      <c r="I1" s="54" t="n">
        <v>0</v>
      </c>
      <c r="J1" s="54" t="n">
        <v>0</v>
      </c>
      <c r="K1" s="55" t="n">
        <v>0</v>
      </c>
      <c r="L1" s="56" t="n">
        <v>0</v>
      </c>
      <c r="M1" s="54" t="n">
        <v>0</v>
      </c>
      <c r="N1" s="54" t="n">
        <v>10</v>
      </c>
      <c r="O1" s="54" t="n">
        <v>0</v>
      </c>
      <c r="P1" s="54" t="n">
        <v>1</v>
      </c>
      <c r="Q1" s="54" t="n">
        <v>2</v>
      </c>
      <c r="R1" s="54" t="n">
        <v>2</v>
      </c>
      <c r="S1" s="54" t="n">
        <v>1</v>
      </c>
      <c r="T1" s="54" t="n">
        <v>0</v>
      </c>
      <c r="U1" s="54" t="n">
        <v>2</v>
      </c>
      <c r="V1" s="54" t="n">
        <v>0</v>
      </c>
      <c r="W1" s="55" t="n">
        <v>10</v>
      </c>
      <c r="X1" s="56" t="n">
        <v>10</v>
      </c>
      <c r="Y1" s="54" t="n">
        <v>0</v>
      </c>
      <c r="Z1" s="54" t="n">
        <v>1</v>
      </c>
      <c r="AA1" s="54" t="n">
        <v>1</v>
      </c>
      <c r="AB1" s="54" t="n">
        <v>0</v>
      </c>
      <c r="AC1" s="54" t="n">
        <v>0</v>
      </c>
      <c r="AD1" s="54" t="n">
        <v>0</v>
      </c>
      <c r="AE1" s="55" t="n">
        <v>0</v>
      </c>
      <c r="AF1" s="56" t="n">
        <v>2</v>
      </c>
      <c r="AG1" s="54" t="n">
        <v>1</v>
      </c>
      <c r="AH1" s="54" t="n">
        <v>2</v>
      </c>
      <c r="AI1" s="54" t="n">
        <v>1</v>
      </c>
      <c r="AJ1" s="54" t="n">
        <v>0</v>
      </c>
      <c r="AK1" s="54" t="n">
        <v>0</v>
      </c>
      <c r="AL1" s="54" t="n">
        <v>0</v>
      </c>
      <c r="AM1" s="54" t="n">
        <v>1</v>
      </c>
      <c r="AN1" s="55" t="n">
        <v>0</v>
      </c>
      <c r="AO1" s="56" t="n">
        <v>10</v>
      </c>
      <c r="AP1" s="54" t="n">
        <v>1</v>
      </c>
      <c r="AQ1" s="54" t="n">
        <v>1</v>
      </c>
      <c r="AR1" s="54" t="n">
        <v>2</v>
      </c>
      <c r="AS1" s="54" t="n">
        <v>0</v>
      </c>
      <c r="AT1" s="55" t="n">
        <v>2</v>
      </c>
      <c r="AU1" s="56" t="n">
        <v>0</v>
      </c>
      <c r="AV1" s="55" t="n">
        <v>0</v>
      </c>
      <c r="AW1" s="110" t="n">
        <v>1</v>
      </c>
      <c r="AX1" s="52" t="s">
        <v>6</v>
      </c>
      <c r="AY1" s="50" t="s">
        <v>0</v>
      </c>
      <c r="AZ1" s="50"/>
      <c r="BA1" s="117" t="n">
        <f aca="false">SUM(A1:AV1)</f>
        <v>79</v>
      </c>
      <c r="BB1" s="9"/>
      <c r="BC1" s="9"/>
    </row>
    <row r="2" customFormat="false" ht="18" hidden="false" customHeight="true" outlineLevel="0" collapsed="false">
      <c r="A2" s="60" t="n">
        <v>1</v>
      </c>
      <c r="B2" s="61" t="n">
        <v>0</v>
      </c>
      <c r="C2" s="62" t="n">
        <v>0</v>
      </c>
      <c r="D2" s="62" t="n">
        <v>0</v>
      </c>
      <c r="E2" s="62" t="n">
        <v>0</v>
      </c>
      <c r="F2" s="62" t="n">
        <v>0</v>
      </c>
      <c r="G2" s="62" t="n">
        <v>0</v>
      </c>
      <c r="H2" s="62" t="n">
        <v>0</v>
      </c>
      <c r="I2" s="62" t="n">
        <v>0</v>
      </c>
      <c r="J2" s="62" t="n">
        <v>0</v>
      </c>
      <c r="K2" s="63" t="n">
        <v>0</v>
      </c>
      <c r="L2" s="60" t="n">
        <v>1</v>
      </c>
      <c r="M2" s="62" t="n">
        <v>0</v>
      </c>
      <c r="N2" s="62" t="n">
        <v>0</v>
      </c>
      <c r="O2" s="62" t="n">
        <v>0</v>
      </c>
      <c r="P2" s="62" t="n">
        <v>0</v>
      </c>
      <c r="Q2" s="62" t="n">
        <v>11</v>
      </c>
      <c r="R2" s="62" t="n">
        <v>1</v>
      </c>
      <c r="S2" s="62" t="n">
        <v>1</v>
      </c>
      <c r="T2" s="62" t="n">
        <v>0</v>
      </c>
      <c r="U2" s="62" t="n">
        <v>11</v>
      </c>
      <c r="V2" s="62" t="n">
        <v>0</v>
      </c>
      <c r="W2" s="63" t="n">
        <v>0</v>
      </c>
      <c r="X2" s="60" t="n">
        <v>0</v>
      </c>
      <c r="Y2" s="62" t="n">
        <v>1</v>
      </c>
      <c r="Z2" s="62" t="n">
        <v>0</v>
      </c>
      <c r="AA2" s="62" t="n">
        <v>0</v>
      </c>
      <c r="AB2" s="62" t="n">
        <v>1</v>
      </c>
      <c r="AC2" s="62" t="n">
        <v>1</v>
      </c>
      <c r="AD2" s="62" t="n">
        <v>0</v>
      </c>
      <c r="AE2" s="63" t="n">
        <v>1</v>
      </c>
      <c r="AF2" s="60" t="n">
        <v>2</v>
      </c>
      <c r="AG2" s="62" t="n">
        <v>0</v>
      </c>
      <c r="AH2" s="62" t="n">
        <v>1</v>
      </c>
      <c r="AI2" s="62" t="n">
        <v>0</v>
      </c>
      <c r="AJ2" s="62" t="n">
        <v>0</v>
      </c>
      <c r="AK2" s="62" t="n">
        <v>0</v>
      </c>
      <c r="AL2" s="62" t="n">
        <v>0</v>
      </c>
      <c r="AM2" s="62" t="n">
        <v>1</v>
      </c>
      <c r="AN2" s="63" t="n">
        <v>0</v>
      </c>
      <c r="AO2" s="60" t="n">
        <v>1</v>
      </c>
      <c r="AP2" s="62" t="n">
        <v>0</v>
      </c>
      <c r="AQ2" s="62" t="n">
        <v>1</v>
      </c>
      <c r="AR2" s="62" t="n">
        <v>2</v>
      </c>
      <c r="AS2" s="62" t="n">
        <v>1</v>
      </c>
      <c r="AT2" s="63" t="n">
        <v>0</v>
      </c>
      <c r="AU2" s="60" t="n">
        <v>1</v>
      </c>
      <c r="AV2" s="63" t="n">
        <v>0</v>
      </c>
      <c r="AW2" s="60" t="n">
        <v>2</v>
      </c>
      <c r="AX2" s="59" t="s">
        <v>7</v>
      </c>
      <c r="AY2" s="50"/>
      <c r="AZ2" s="50"/>
      <c r="BA2" s="117" t="n">
        <f aca="false">SUM(A2:AV2)</f>
        <v>40</v>
      </c>
      <c r="BB2" s="9"/>
      <c r="BC2" s="9"/>
    </row>
    <row r="3" customFormat="false" ht="18" hidden="false" customHeight="true" outlineLevel="0" collapsed="false">
      <c r="A3" s="66" t="n">
        <v>2</v>
      </c>
      <c r="B3" s="67" t="n">
        <v>11</v>
      </c>
      <c r="C3" s="61" t="n">
        <v>0</v>
      </c>
      <c r="D3" s="67" t="n">
        <v>11</v>
      </c>
      <c r="E3" s="68" t="n">
        <v>11</v>
      </c>
      <c r="F3" s="67" t="n">
        <v>2</v>
      </c>
      <c r="G3" s="68" t="n">
        <v>1</v>
      </c>
      <c r="H3" s="67" t="n">
        <v>0</v>
      </c>
      <c r="I3" s="68" t="n">
        <v>11</v>
      </c>
      <c r="J3" s="67" t="n">
        <v>1</v>
      </c>
      <c r="K3" s="69" t="n">
        <v>2</v>
      </c>
      <c r="L3" s="66" t="n">
        <v>1</v>
      </c>
      <c r="M3" s="68" t="n">
        <v>1</v>
      </c>
      <c r="N3" s="68" t="n">
        <v>2</v>
      </c>
      <c r="O3" s="68" t="n">
        <v>1</v>
      </c>
      <c r="P3" s="68" t="n">
        <v>10</v>
      </c>
      <c r="Q3" s="68" t="n">
        <v>2</v>
      </c>
      <c r="R3" s="68" t="n">
        <v>10</v>
      </c>
      <c r="S3" s="68" t="n">
        <v>11</v>
      </c>
      <c r="T3" s="68" t="n">
        <v>1</v>
      </c>
      <c r="U3" s="68" t="n">
        <v>12</v>
      </c>
      <c r="V3" s="68" t="n">
        <v>1</v>
      </c>
      <c r="W3" s="69" t="n">
        <v>1</v>
      </c>
      <c r="X3" s="66" t="n">
        <v>1</v>
      </c>
      <c r="Y3" s="68" t="n">
        <v>10</v>
      </c>
      <c r="Z3" s="68" t="n">
        <v>10</v>
      </c>
      <c r="AA3" s="68" t="n">
        <v>1</v>
      </c>
      <c r="AB3" s="68" t="n">
        <v>10</v>
      </c>
      <c r="AC3" s="68" t="n">
        <v>1</v>
      </c>
      <c r="AD3" s="68" t="n">
        <v>0</v>
      </c>
      <c r="AE3" s="69" t="n">
        <v>1</v>
      </c>
      <c r="AF3" s="66" t="n">
        <v>11</v>
      </c>
      <c r="AG3" s="68" t="n">
        <v>1</v>
      </c>
      <c r="AH3" s="68" t="n">
        <v>11</v>
      </c>
      <c r="AI3" s="68" t="n">
        <v>1</v>
      </c>
      <c r="AJ3" s="68" t="n">
        <v>10</v>
      </c>
      <c r="AK3" s="68" t="n">
        <v>10</v>
      </c>
      <c r="AL3" s="68" t="n">
        <v>0</v>
      </c>
      <c r="AM3" s="68" t="n">
        <v>0</v>
      </c>
      <c r="AN3" s="69" t="n">
        <v>11</v>
      </c>
      <c r="AO3" s="66" t="n">
        <v>10</v>
      </c>
      <c r="AP3" s="68" t="n">
        <v>1</v>
      </c>
      <c r="AQ3" s="68" t="n">
        <v>0</v>
      </c>
      <c r="AR3" s="68" t="n">
        <v>1</v>
      </c>
      <c r="AS3" s="68" t="n">
        <v>10</v>
      </c>
      <c r="AT3" s="69" t="n">
        <v>1</v>
      </c>
      <c r="AU3" s="66" t="n">
        <v>1</v>
      </c>
      <c r="AV3" s="69" t="n">
        <v>1</v>
      </c>
      <c r="AW3" s="118" t="n">
        <v>3</v>
      </c>
      <c r="AX3" s="119" t="s">
        <v>148</v>
      </c>
      <c r="AY3" s="50"/>
      <c r="AZ3" s="50"/>
      <c r="BA3" s="117" t="n">
        <f aca="false">SUM(A3:AV3)</f>
        <v>219</v>
      </c>
      <c r="BB3" s="9"/>
      <c r="BC3" s="9"/>
    </row>
    <row r="4" customFormat="false" ht="18" hidden="false" customHeight="true" outlineLevel="0" collapsed="false">
      <c r="A4" s="60" t="n">
        <v>1</v>
      </c>
      <c r="B4" s="62" t="n">
        <v>0</v>
      </c>
      <c r="C4" s="62" t="n">
        <v>1</v>
      </c>
      <c r="D4" s="61" t="n">
        <v>0</v>
      </c>
      <c r="E4" s="62" t="n">
        <v>1</v>
      </c>
      <c r="F4" s="62" t="n">
        <v>0</v>
      </c>
      <c r="G4" s="62" t="n">
        <v>1</v>
      </c>
      <c r="H4" s="62" t="n">
        <v>0</v>
      </c>
      <c r="I4" s="62" t="n">
        <v>1</v>
      </c>
      <c r="J4" s="62" t="n">
        <v>0</v>
      </c>
      <c r="K4" s="63" t="n">
        <v>0</v>
      </c>
      <c r="L4" s="60" t="n">
        <v>0</v>
      </c>
      <c r="M4" s="62" t="n">
        <v>1</v>
      </c>
      <c r="N4" s="62" t="n">
        <v>0</v>
      </c>
      <c r="O4" s="62" t="n">
        <v>1</v>
      </c>
      <c r="P4" s="62" t="n">
        <v>0</v>
      </c>
      <c r="Q4" s="62" t="n">
        <v>1</v>
      </c>
      <c r="R4" s="62" t="n">
        <v>1</v>
      </c>
      <c r="S4" s="62" t="n">
        <v>0</v>
      </c>
      <c r="T4" s="62" t="n">
        <v>1</v>
      </c>
      <c r="U4" s="62" t="n">
        <v>1</v>
      </c>
      <c r="V4" s="62" t="n">
        <v>1</v>
      </c>
      <c r="W4" s="63" t="n">
        <v>1</v>
      </c>
      <c r="X4" s="60" t="n">
        <v>1</v>
      </c>
      <c r="Y4" s="62" t="n">
        <v>1</v>
      </c>
      <c r="Z4" s="62" t="n">
        <v>0</v>
      </c>
      <c r="AA4" s="62" t="n">
        <v>10</v>
      </c>
      <c r="AB4" s="62" t="n">
        <v>1</v>
      </c>
      <c r="AC4" s="62" t="n">
        <v>1</v>
      </c>
      <c r="AD4" s="62" t="n">
        <v>10</v>
      </c>
      <c r="AE4" s="63" t="n">
        <v>1</v>
      </c>
      <c r="AF4" s="60" t="n">
        <v>11</v>
      </c>
      <c r="AG4" s="62" t="n">
        <v>10</v>
      </c>
      <c r="AH4" s="62" t="n">
        <v>1</v>
      </c>
      <c r="AI4" s="62" t="n">
        <v>1</v>
      </c>
      <c r="AJ4" s="62" t="n">
        <v>1</v>
      </c>
      <c r="AK4" s="62" t="n">
        <v>0</v>
      </c>
      <c r="AL4" s="62" t="n">
        <v>0</v>
      </c>
      <c r="AM4" s="62" t="n">
        <v>0</v>
      </c>
      <c r="AN4" s="63" t="n">
        <v>10</v>
      </c>
      <c r="AO4" s="60" t="n">
        <v>1</v>
      </c>
      <c r="AP4" s="62" t="n">
        <v>0</v>
      </c>
      <c r="AQ4" s="62" t="n">
        <v>1</v>
      </c>
      <c r="AR4" s="62" t="n">
        <v>0</v>
      </c>
      <c r="AS4" s="62" t="n">
        <v>0</v>
      </c>
      <c r="AT4" s="63" t="n">
        <v>0</v>
      </c>
      <c r="AU4" s="60" t="n">
        <v>0</v>
      </c>
      <c r="AV4" s="63" t="n">
        <v>0</v>
      </c>
      <c r="AW4" s="60" t="n">
        <v>4</v>
      </c>
      <c r="AX4" s="59" t="s">
        <v>196</v>
      </c>
      <c r="AY4" s="50"/>
      <c r="AZ4" s="50"/>
      <c r="BA4" s="117" t="n">
        <f aca="false">SUM(A4:AV4)</f>
        <v>74</v>
      </c>
      <c r="BB4" s="9"/>
      <c r="BC4" s="9"/>
    </row>
    <row r="5" customFormat="false" ht="18" hidden="false" customHeight="true" outlineLevel="0" collapsed="false">
      <c r="A5" s="66" t="n">
        <v>1</v>
      </c>
      <c r="B5" s="67" t="n">
        <v>2</v>
      </c>
      <c r="C5" s="68" t="n">
        <v>2</v>
      </c>
      <c r="D5" s="67" t="n">
        <v>1</v>
      </c>
      <c r="E5" s="61" t="n">
        <v>0</v>
      </c>
      <c r="F5" s="67" t="n">
        <v>1</v>
      </c>
      <c r="G5" s="68" t="n">
        <v>1</v>
      </c>
      <c r="H5" s="67" t="n">
        <v>1</v>
      </c>
      <c r="I5" s="68" t="n">
        <v>2</v>
      </c>
      <c r="J5" s="67" t="n">
        <v>1</v>
      </c>
      <c r="K5" s="69" t="n">
        <v>2</v>
      </c>
      <c r="L5" s="66" t="n">
        <v>1</v>
      </c>
      <c r="M5" s="68" t="n">
        <v>10</v>
      </c>
      <c r="N5" s="68" t="n">
        <v>0</v>
      </c>
      <c r="O5" s="68" t="n">
        <v>1</v>
      </c>
      <c r="P5" s="68" t="n">
        <v>1</v>
      </c>
      <c r="Q5" s="68" t="n">
        <v>1</v>
      </c>
      <c r="R5" s="68" t="n">
        <v>1</v>
      </c>
      <c r="S5" s="68" t="n">
        <v>11</v>
      </c>
      <c r="T5" s="68" t="n">
        <v>2</v>
      </c>
      <c r="U5" s="68" t="n">
        <v>1</v>
      </c>
      <c r="V5" s="68" t="n">
        <v>2</v>
      </c>
      <c r="W5" s="69" t="n">
        <v>2</v>
      </c>
      <c r="X5" s="66" t="n">
        <v>2</v>
      </c>
      <c r="Y5" s="68" t="n">
        <v>0</v>
      </c>
      <c r="Z5" s="68" t="n">
        <v>0</v>
      </c>
      <c r="AA5" s="68" t="n">
        <v>2</v>
      </c>
      <c r="AB5" s="68" t="n">
        <v>0</v>
      </c>
      <c r="AC5" s="68" t="n">
        <v>1</v>
      </c>
      <c r="AD5" s="68" t="n">
        <v>0</v>
      </c>
      <c r="AE5" s="69" t="n">
        <v>1</v>
      </c>
      <c r="AF5" s="66" t="n">
        <v>11</v>
      </c>
      <c r="AG5" s="68" t="n">
        <v>1</v>
      </c>
      <c r="AH5" s="68" t="n">
        <v>11</v>
      </c>
      <c r="AI5" s="68" t="n">
        <v>0</v>
      </c>
      <c r="AJ5" s="68" t="n">
        <v>2</v>
      </c>
      <c r="AK5" s="68" t="n">
        <v>10</v>
      </c>
      <c r="AL5" s="68" t="n">
        <v>1</v>
      </c>
      <c r="AM5" s="68" t="n">
        <v>2</v>
      </c>
      <c r="AN5" s="69" t="n">
        <v>1</v>
      </c>
      <c r="AO5" s="66" t="n">
        <v>1</v>
      </c>
      <c r="AP5" s="68" t="n">
        <v>1</v>
      </c>
      <c r="AQ5" s="68" t="n">
        <v>1</v>
      </c>
      <c r="AR5" s="68" t="n">
        <v>1</v>
      </c>
      <c r="AS5" s="68" t="n">
        <v>1</v>
      </c>
      <c r="AT5" s="69" t="n">
        <v>1</v>
      </c>
      <c r="AU5" s="66" t="n">
        <v>0</v>
      </c>
      <c r="AV5" s="69" t="n">
        <v>1</v>
      </c>
      <c r="AW5" s="64" t="n">
        <v>5</v>
      </c>
      <c r="AX5" s="65" t="s">
        <v>10</v>
      </c>
      <c r="AY5" s="50"/>
      <c r="AZ5" s="50"/>
      <c r="BA5" s="117" t="n">
        <f aca="false">SUM(A5:AV5)</f>
        <v>99</v>
      </c>
      <c r="BB5" s="9"/>
      <c r="BC5" s="9"/>
    </row>
    <row r="6" customFormat="false" ht="18" hidden="false" customHeight="true" outlineLevel="0" collapsed="false">
      <c r="A6" s="60" t="n">
        <v>1</v>
      </c>
      <c r="B6" s="62" t="n">
        <v>0</v>
      </c>
      <c r="C6" s="62" t="n">
        <v>1</v>
      </c>
      <c r="D6" s="62" t="n">
        <v>0</v>
      </c>
      <c r="E6" s="62" t="n">
        <v>1</v>
      </c>
      <c r="F6" s="61" t="n">
        <v>0</v>
      </c>
      <c r="G6" s="62" t="n">
        <v>0</v>
      </c>
      <c r="H6" s="62" t="n">
        <v>0</v>
      </c>
      <c r="I6" s="62" t="n">
        <v>0</v>
      </c>
      <c r="J6" s="62" t="n">
        <v>1</v>
      </c>
      <c r="K6" s="63" t="n">
        <v>0</v>
      </c>
      <c r="L6" s="60" t="n">
        <v>0</v>
      </c>
      <c r="M6" s="62" t="n">
        <v>0</v>
      </c>
      <c r="N6" s="62" t="n">
        <v>0</v>
      </c>
      <c r="O6" s="62" t="n">
        <v>1</v>
      </c>
      <c r="P6" s="62" t="n">
        <v>1</v>
      </c>
      <c r="Q6" s="62" t="n">
        <v>0</v>
      </c>
      <c r="R6" s="62" t="n">
        <v>0</v>
      </c>
      <c r="S6" s="62" t="n">
        <v>10</v>
      </c>
      <c r="T6" s="62" t="n">
        <v>0</v>
      </c>
      <c r="U6" s="62" t="n">
        <v>0</v>
      </c>
      <c r="V6" s="62" t="n">
        <v>0</v>
      </c>
      <c r="W6" s="63" t="n">
        <v>10</v>
      </c>
      <c r="X6" s="60" t="n">
        <v>3</v>
      </c>
      <c r="Y6" s="62" t="n">
        <v>1</v>
      </c>
      <c r="Z6" s="62" t="n">
        <v>1</v>
      </c>
      <c r="AA6" s="62" t="n">
        <v>1</v>
      </c>
      <c r="AB6" s="62" t="n">
        <v>0</v>
      </c>
      <c r="AC6" s="62" t="n">
        <v>1</v>
      </c>
      <c r="AD6" s="62" t="n">
        <v>1</v>
      </c>
      <c r="AE6" s="63" t="n">
        <v>3</v>
      </c>
      <c r="AF6" s="60" t="n">
        <v>10</v>
      </c>
      <c r="AG6" s="62" t="n">
        <v>1</v>
      </c>
      <c r="AH6" s="62" t="n">
        <v>0</v>
      </c>
      <c r="AI6" s="62" t="n">
        <v>0</v>
      </c>
      <c r="AJ6" s="62" t="n">
        <v>10</v>
      </c>
      <c r="AK6" s="62" t="n">
        <v>0</v>
      </c>
      <c r="AL6" s="62" t="n">
        <v>0</v>
      </c>
      <c r="AM6" s="62" t="n">
        <v>1</v>
      </c>
      <c r="AN6" s="63" t="n">
        <v>2</v>
      </c>
      <c r="AO6" s="60" t="n">
        <v>0</v>
      </c>
      <c r="AP6" s="62" t="n">
        <v>0</v>
      </c>
      <c r="AQ6" s="62" t="n">
        <v>1</v>
      </c>
      <c r="AR6" s="62" t="n">
        <v>1</v>
      </c>
      <c r="AS6" s="62" t="n">
        <v>10</v>
      </c>
      <c r="AT6" s="63" t="n">
        <v>1</v>
      </c>
      <c r="AU6" s="60" t="n">
        <v>0</v>
      </c>
      <c r="AV6" s="63" t="n">
        <v>0</v>
      </c>
      <c r="AW6" s="60" t="n">
        <v>6</v>
      </c>
      <c r="AX6" s="59" t="s">
        <v>11</v>
      </c>
      <c r="AY6" s="50"/>
      <c r="AZ6" s="50"/>
      <c r="BA6" s="117" t="n">
        <f aca="false">SUM(A6:AV6)</f>
        <v>74</v>
      </c>
      <c r="BB6" s="9"/>
      <c r="BC6" s="70"/>
    </row>
    <row r="7" customFormat="false" ht="18" hidden="false" customHeight="true" outlineLevel="0" collapsed="false">
      <c r="A7" s="66" t="n">
        <v>0</v>
      </c>
      <c r="B7" s="67" t="n">
        <v>0</v>
      </c>
      <c r="C7" s="68" t="n">
        <v>11</v>
      </c>
      <c r="D7" s="67" t="n">
        <v>2</v>
      </c>
      <c r="E7" s="68" t="n">
        <v>1</v>
      </c>
      <c r="F7" s="67" t="n">
        <v>0</v>
      </c>
      <c r="G7" s="61" t="n">
        <v>0</v>
      </c>
      <c r="H7" s="67" t="n">
        <v>0</v>
      </c>
      <c r="I7" s="68" t="n">
        <v>11</v>
      </c>
      <c r="J7" s="67" t="n">
        <v>0</v>
      </c>
      <c r="K7" s="69" t="n">
        <v>1</v>
      </c>
      <c r="L7" s="66" t="n">
        <v>1</v>
      </c>
      <c r="M7" s="68" t="n">
        <v>1</v>
      </c>
      <c r="N7" s="68" t="n">
        <v>1</v>
      </c>
      <c r="O7" s="68" t="n">
        <v>11</v>
      </c>
      <c r="P7" s="68" t="n">
        <v>0</v>
      </c>
      <c r="Q7" s="68" t="n">
        <v>0</v>
      </c>
      <c r="R7" s="68" t="n">
        <v>1</v>
      </c>
      <c r="S7" s="68" t="n">
        <v>1</v>
      </c>
      <c r="T7" s="68" t="n">
        <v>2</v>
      </c>
      <c r="U7" s="68" t="n">
        <v>1</v>
      </c>
      <c r="V7" s="68" t="n">
        <v>1</v>
      </c>
      <c r="W7" s="69" t="n">
        <v>0</v>
      </c>
      <c r="X7" s="66" t="n">
        <v>1</v>
      </c>
      <c r="Y7" s="68" t="n">
        <v>0</v>
      </c>
      <c r="Z7" s="68" t="n">
        <v>0</v>
      </c>
      <c r="AA7" s="68" t="n">
        <v>1</v>
      </c>
      <c r="AB7" s="68" t="n">
        <v>0</v>
      </c>
      <c r="AC7" s="68" t="n">
        <v>2</v>
      </c>
      <c r="AD7" s="68" t="n">
        <v>1</v>
      </c>
      <c r="AE7" s="69" t="n">
        <v>0</v>
      </c>
      <c r="AF7" s="66" t="n">
        <v>11</v>
      </c>
      <c r="AG7" s="68" t="n">
        <v>2</v>
      </c>
      <c r="AH7" s="68" t="n">
        <v>12</v>
      </c>
      <c r="AI7" s="68" t="n">
        <v>10</v>
      </c>
      <c r="AJ7" s="68" t="n">
        <v>0</v>
      </c>
      <c r="AK7" s="68" t="n">
        <v>2</v>
      </c>
      <c r="AL7" s="68" t="n">
        <v>10</v>
      </c>
      <c r="AM7" s="68" t="n">
        <v>1</v>
      </c>
      <c r="AN7" s="69" t="n">
        <v>0</v>
      </c>
      <c r="AO7" s="66" t="n">
        <v>10</v>
      </c>
      <c r="AP7" s="68" t="n">
        <v>1</v>
      </c>
      <c r="AQ7" s="68" t="n">
        <v>0</v>
      </c>
      <c r="AR7" s="68" t="n">
        <v>1</v>
      </c>
      <c r="AS7" s="68" t="n">
        <v>11</v>
      </c>
      <c r="AT7" s="69" t="n">
        <v>1</v>
      </c>
      <c r="AU7" s="66" t="n">
        <v>0</v>
      </c>
      <c r="AV7" s="69" t="n">
        <v>0</v>
      </c>
      <c r="AW7" s="118" t="n">
        <v>7</v>
      </c>
      <c r="AX7" s="65" t="s">
        <v>12</v>
      </c>
      <c r="AY7" s="50"/>
      <c r="AZ7" s="50"/>
      <c r="BA7" s="117" t="n">
        <f aca="false">SUM(A7:AV7)</f>
        <v>123</v>
      </c>
      <c r="BB7" s="2" t="s">
        <v>2376</v>
      </c>
      <c r="BC7" s="71"/>
      <c r="BD7" s="72"/>
      <c r="BE7" s="72"/>
    </row>
    <row r="8" customFormat="false" ht="18" hidden="false" customHeight="true" outlineLevel="0" collapsed="false">
      <c r="A8" s="60" t="n">
        <v>0</v>
      </c>
      <c r="B8" s="62" t="n">
        <v>0</v>
      </c>
      <c r="C8" s="62" t="n">
        <v>1</v>
      </c>
      <c r="D8" s="62" t="n">
        <v>0</v>
      </c>
      <c r="E8" s="62" t="n">
        <v>10</v>
      </c>
      <c r="F8" s="62" t="n">
        <v>1</v>
      </c>
      <c r="G8" s="62" t="n">
        <v>0</v>
      </c>
      <c r="H8" s="61" t="n">
        <v>0</v>
      </c>
      <c r="I8" s="62" t="n">
        <v>0</v>
      </c>
      <c r="J8" s="62" t="n">
        <v>0</v>
      </c>
      <c r="K8" s="63" t="n">
        <v>0</v>
      </c>
      <c r="L8" s="60" t="n">
        <v>2</v>
      </c>
      <c r="M8" s="62" t="n">
        <v>2</v>
      </c>
      <c r="N8" s="62" t="n">
        <v>0</v>
      </c>
      <c r="O8" s="62" t="n">
        <v>1</v>
      </c>
      <c r="P8" s="62" t="n">
        <v>0</v>
      </c>
      <c r="Q8" s="62" t="n">
        <v>1</v>
      </c>
      <c r="R8" s="62" t="n">
        <v>0</v>
      </c>
      <c r="S8" s="62" t="n">
        <v>1</v>
      </c>
      <c r="T8" s="62" t="n">
        <v>1</v>
      </c>
      <c r="U8" s="62" t="n">
        <v>0</v>
      </c>
      <c r="V8" s="62" t="n">
        <v>1</v>
      </c>
      <c r="W8" s="63" t="n">
        <v>0</v>
      </c>
      <c r="X8" s="60" t="n">
        <v>11</v>
      </c>
      <c r="Y8" s="62" t="n">
        <v>2</v>
      </c>
      <c r="Z8" s="62" t="n">
        <v>1</v>
      </c>
      <c r="AA8" s="62" t="n">
        <v>0</v>
      </c>
      <c r="AB8" s="62" t="n">
        <v>0</v>
      </c>
      <c r="AC8" s="62" t="n">
        <v>0</v>
      </c>
      <c r="AD8" s="62" t="n">
        <v>10</v>
      </c>
      <c r="AE8" s="63" t="n">
        <v>10</v>
      </c>
      <c r="AF8" s="60" t="n">
        <v>0</v>
      </c>
      <c r="AG8" s="62" t="n">
        <v>1</v>
      </c>
      <c r="AH8" s="62" t="n">
        <v>2</v>
      </c>
      <c r="AI8" s="62" t="n">
        <v>2</v>
      </c>
      <c r="AJ8" s="62" t="n">
        <v>1</v>
      </c>
      <c r="AK8" s="62" t="n">
        <v>1</v>
      </c>
      <c r="AL8" s="62" t="n">
        <v>1</v>
      </c>
      <c r="AM8" s="62" t="n">
        <v>0</v>
      </c>
      <c r="AN8" s="63" t="n">
        <v>0</v>
      </c>
      <c r="AO8" s="60" t="n">
        <v>1</v>
      </c>
      <c r="AP8" s="62" t="n">
        <v>1</v>
      </c>
      <c r="AQ8" s="62" t="n">
        <v>1</v>
      </c>
      <c r="AR8" s="62" t="n">
        <v>0</v>
      </c>
      <c r="AS8" s="62" t="n">
        <v>10</v>
      </c>
      <c r="AT8" s="63" t="n">
        <v>1</v>
      </c>
      <c r="AU8" s="60" t="n">
        <v>0</v>
      </c>
      <c r="AV8" s="63" t="n">
        <v>0</v>
      </c>
      <c r="AW8" s="60" t="n">
        <v>8</v>
      </c>
      <c r="AX8" s="59" t="s">
        <v>13</v>
      </c>
      <c r="AY8" s="50"/>
      <c r="AZ8" s="50"/>
      <c r="BA8" s="117" t="n">
        <f aca="false">SUM(A8:AV8)</f>
        <v>77</v>
      </c>
      <c r="BB8" s="73" t="s">
        <v>433</v>
      </c>
      <c r="BC8" s="73"/>
      <c r="BD8" s="72"/>
      <c r="BE8" s="72"/>
    </row>
    <row r="9" customFormat="false" ht="18" hidden="false" customHeight="true" outlineLevel="0" collapsed="false">
      <c r="A9" s="66" t="n">
        <v>0</v>
      </c>
      <c r="B9" s="67" t="n">
        <v>10</v>
      </c>
      <c r="C9" s="68" t="n">
        <v>1</v>
      </c>
      <c r="D9" s="67" t="n">
        <v>0</v>
      </c>
      <c r="E9" s="68" t="n">
        <v>0</v>
      </c>
      <c r="F9" s="67" t="n">
        <v>0</v>
      </c>
      <c r="G9" s="68" t="n">
        <v>1</v>
      </c>
      <c r="H9" s="67" t="n">
        <v>1</v>
      </c>
      <c r="I9" s="61" t="n">
        <v>0</v>
      </c>
      <c r="J9" s="67" t="n">
        <v>0</v>
      </c>
      <c r="K9" s="69" t="n">
        <v>1</v>
      </c>
      <c r="L9" s="66" t="n">
        <v>0</v>
      </c>
      <c r="M9" s="68" t="n">
        <v>0</v>
      </c>
      <c r="N9" s="68" t="n">
        <v>11</v>
      </c>
      <c r="O9" s="68" t="n">
        <v>1</v>
      </c>
      <c r="P9" s="68" t="n">
        <v>0</v>
      </c>
      <c r="Q9" s="68" t="n">
        <v>2</v>
      </c>
      <c r="R9" s="68" t="n">
        <v>1</v>
      </c>
      <c r="S9" s="68" t="n">
        <v>1</v>
      </c>
      <c r="T9" s="68" t="n">
        <v>0</v>
      </c>
      <c r="U9" s="68" t="n">
        <v>1</v>
      </c>
      <c r="V9" s="68" t="n">
        <v>2</v>
      </c>
      <c r="W9" s="69" t="n">
        <v>2</v>
      </c>
      <c r="X9" s="66" t="n">
        <v>0</v>
      </c>
      <c r="Y9" s="68" t="n">
        <v>0</v>
      </c>
      <c r="Z9" s="68" t="n">
        <v>0</v>
      </c>
      <c r="AA9" s="68" t="n">
        <v>1</v>
      </c>
      <c r="AB9" s="68" t="n">
        <v>1</v>
      </c>
      <c r="AC9" s="68" t="n">
        <v>0</v>
      </c>
      <c r="AD9" s="68" t="n">
        <v>1</v>
      </c>
      <c r="AE9" s="69" t="n">
        <v>11</v>
      </c>
      <c r="AF9" s="66" t="n">
        <v>2</v>
      </c>
      <c r="AG9" s="68" t="n">
        <v>0</v>
      </c>
      <c r="AH9" s="68" t="n">
        <v>1</v>
      </c>
      <c r="AI9" s="68" t="n">
        <v>1</v>
      </c>
      <c r="AJ9" s="68" t="n">
        <v>1</v>
      </c>
      <c r="AK9" s="68" t="n">
        <v>0</v>
      </c>
      <c r="AL9" s="68" t="n">
        <v>0</v>
      </c>
      <c r="AM9" s="68" t="n">
        <v>0</v>
      </c>
      <c r="AN9" s="69" t="n">
        <v>0</v>
      </c>
      <c r="AO9" s="66" t="n">
        <v>1</v>
      </c>
      <c r="AP9" s="68" t="n">
        <v>0</v>
      </c>
      <c r="AQ9" s="68" t="n">
        <v>10</v>
      </c>
      <c r="AR9" s="68" t="n">
        <v>2</v>
      </c>
      <c r="AS9" s="68" t="n">
        <v>0</v>
      </c>
      <c r="AT9" s="69" t="n">
        <v>0</v>
      </c>
      <c r="AU9" s="66" t="n">
        <v>1</v>
      </c>
      <c r="AV9" s="69" t="n">
        <v>1</v>
      </c>
      <c r="AW9" s="64" t="n">
        <v>9</v>
      </c>
      <c r="AX9" s="65" t="s">
        <v>14</v>
      </c>
      <c r="AY9" s="50"/>
      <c r="AZ9" s="50"/>
      <c r="BA9" s="117" t="n">
        <f aca="false">SUM(A9:AV9)</f>
        <v>69</v>
      </c>
      <c r="BB9" s="120" t="n">
        <v>1</v>
      </c>
      <c r="BC9" s="121" t="s">
        <v>481</v>
      </c>
      <c r="BD9" s="76" t="n">
        <v>0</v>
      </c>
      <c r="BE9" s="76" t="n">
        <f aca="false">_xlfn.RANK.EQ(BD9,$BD$9:$BD$48,0)</f>
        <v>1</v>
      </c>
    </row>
    <row r="10" customFormat="false" ht="18" hidden="false" customHeight="true" outlineLevel="0" collapsed="false">
      <c r="A10" s="60" t="n">
        <v>0</v>
      </c>
      <c r="B10" s="62" t="n">
        <v>0</v>
      </c>
      <c r="C10" s="62" t="n">
        <v>0</v>
      </c>
      <c r="D10" s="62" t="n">
        <v>0</v>
      </c>
      <c r="E10" s="62" t="n">
        <v>10</v>
      </c>
      <c r="F10" s="62" t="n">
        <v>0</v>
      </c>
      <c r="G10" s="62" t="n">
        <v>1</v>
      </c>
      <c r="H10" s="62" t="n">
        <v>1</v>
      </c>
      <c r="I10" s="62" t="n">
        <v>0</v>
      </c>
      <c r="J10" s="61" t="n">
        <v>0</v>
      </c>
      <c r="K10" s="63" t="n">
        <v>0</v>
      </c>
      <c r="L10" s="60" t="n">
        <v>0</v>
      </c>
      <c r="M10" s="62" t="n">
        <v>1</v>
      </c>
      <c r="N10" s="62" t="n">
        <v>0</v>
      </c>
      <c r="O10" s="62" t="n">
        <v>1</v>
      </c>
      <c r="P10" s="62" t="n">
        <v>0</v>
      </c>
      <c r="Q10" s="62" t="n">
        <v>0</v>
      </c>
      <c r="R10" s="62" t="n">
        <v>1</v>
      </c>
      <c r="S10" s="62" t="n">
        <v>0</v>
      </c>
      <c r="T10" s="62" t="n">
        <v>1</v>
      </c>
      <c r="U10" s="62" t="n">
        <v>1</v>
      </c>
      <c r="V10" s="62" t="n">
        <v>1</v>
      </c>
      <c r="W10" s="63" t="n">
        <v>0</v>
      </c>
      <c r="X10" s="60" t="n">
        <v>1</v>
      </c>
      <c r="Y10" s="62" t="n">
        <v>1</v>
      </c>
      <c r="Z10" s="62" t="n">
        <v>1</v>
      </c>
      <c r="AA10" s="62" t="n">
        <v>0</v>
      </c>
      <c r="AB10" s="62" t="n">
        <v>10</v>
      </c>
      <c r="AC10" s="62" t="n">
        <v>1</v>
      </c>
      <c r="AD10" s="62" t="n">
        <v>10</v>
      </c>
      <c r="AE10" s="63" t="n">
        <v>1</v>
      </c>
      <c r="AF10" s="60" t="n">
        <v>11</v>
      </c>
      <c r="AG10" s="62" t="n">
        <v>0</v>
      </c>
      <c r="AH10" s="62" t="n">
        <v>0</v>
      </c>
      <c r="AI10" s="62" t="n">
        <v>0</v>
      </c>
      <c r="AJ10" s="62" t="n">
        <v>0</v>
      </c>
      <c r="AK10" s="62" t="n">
        <v>0</v>
      </c>
      <c r="AL10" s="62" t="n">
        <v>1</v>
      </c>
      <c r="AM10" s="62" t="n">
        <v>0</v>
      </c>
      <c r="AN10" s="63" t="n">
        <v>0</v>
      </c>
      <c r="AO10" s="60" t="n">
        <v>1</v>
      </c>
      <c r="AP10" s="62" t="n">
        <v>0</v>
      </c>
      <c r="AQ10" s="62" t="n">
        <v>1</v>
      </c>
      <c r="AR10" s="62" t="n">
        <v>10</v>
      </c>
      <c r="AS10" s="62" t="n">
        <v>1</v>
      </c>
      <c r="AT10" s="63" t="n">
        <v>1</v>
      </c>
      <c r="AU10" s="60" t="n">
        <v>0</v>
      </c>
      <c r="AV10" s="63" t="n">
        <v>0</v>
      </c>
      <c r="AW10" s="60" t="n">
        <v>10</v>
      </c>
      <c r="AX10" s="59" t="s">
        <v>15</v>
      </c>
      <c r="AY10" s="50"/>
      <c r="AZ10" s="50"/>
      <c r="BA10" s="117" t="n">
        <f aca="false">SUM(A10:AV10)</f>
        <v>69</v>
      </c>
      <c r="BB10" s="74" t="n">
        <v>2</v>
      </c>
      <c r="BC10" s="122" t="s">
        <v>529</v>
      </c>
      <c r="BD10" s="76" t="n">
        <v>0</v>
      </c>
      <c r="BE10" s="76" t="n">
        <f aca="false">_xlfn.RANK.EQ(BD10,$BD$9:$BD$48,0)</f>
        <v>1</v>
      </c>
    </row>
    <row r="11" customFormat="false" ht="18" hidden="false" customHeight="true" outlineLevel="0" collapsed="false">
      <c r="A11" s="80" t="n">
        <v>1</v>
      </c>
      <c r="B11" s="81" t="n">
        <v>0</v>
      </c>
      <c r="C11" s="82" t="n">
        <v>0</v>
      </c>
      <c r="D11" s="81" t="n">
        <v>0</v>
      </c>
      <c r="E11" s="82" t="n">
        <v>0</v>
      </c>
      <c r="F11" s="81" t="n">
        <v>0</v>
      </c>
      <c r="G11" s="82" t="n">
        <v>0</v>
      </c>
      <c r="H11" s="81" t="n">
        <v>0</v>
      </c>
      <c r="I11" s="81" t="n">
        <v>0</v>
      </c>
      <c r="J11" s="81" t="n">
        <v>0</v>
      </c>
      <c r="K11" s="83" t="n">
        <v>0</v>
      </c>
      <c r="L11" s="84" t="n">
        <v>1</v>
      </c>
      <c r="M11" s="85" t="n">
        <v>1</v>
      </c>
      <c r="N11" s="85" t="n">
        <v>1</v>
      </c>
      <c r="O11" s="85" t="n">
        <v>2</v>
      </c>
      <c r="P11" s="85" t="n">
        <v>1</v>
      </c>
      <c r="Q11" s="85" t="n">
        <v>0</v>
      </c>
      <c r="R11" s="85" t="n">
        <v>1</v>
      </c>
      <c r="S11" s="85" t="n">
        <v>2</v>
      </c>
      <c r="T11" s="85" t="n">
        <v>2</v>
      </c>
      <c r="U11" s="85" t="n">
        <v>0</v>
      </c>
      <c r="V11" s="85" t="n">
        <v>0</v>
      </c>
      <c r="W11" s="86" t="n">
        <v>10</v>
      </c>
      <c r="X11" s="84" t="n">
        <v>0</v>
      </c>
      <c r="Y11" s="85" t="n">
        <v>0</v>
      </c>
      <c r="Z11" s="85" t="n">
        <v>0</v>
      </c>
      <c r="AA11" s="85" t="n">
        <v>0</v>
      </c>
      <c r="AB11" s="85" t="n">
        <v>11</v>
      </c>
      <c r="AC11" s="85" t="n">
        <v>0</v>
      </c>
      <c r="AD11" s="85" t="n">
        <v>0</v>
      </c>
      <c r="AE11" s="86" t="n">
        <v>0</v>
      </c>
      <c r="AF11" s="84" t="n">
        <v>1</v>
      </c>
      <c r="AG11" s="85" t="n">
        <v>0</v>
      </c>
      <c r="AH11" s="85" t="n">
        <v>0</v>
      </c>
      <c r="AI11" s="85" t="n">
        <v>0</v>
      </c>
      <c r="AJ11" s="85" t="n">
        <v>1</v>
      </c>
      <c r="AK11" s="85" t="n">
        <v>0</v>
      </c>
      <c r="AL11" s="85" t="n">
        <v>1</v>
      </c>
      <c r="AM11" s="85" t="n">
        <v>0</v>
      </c>
      <c r="AN11" s="86" t="n">
        <v>11</v>
      </c>
      <c r="AO11" s="84" t="n">
        <v>1</v>
      </c>
      <c r="AP11" s="85" t="n">
        <v>0</v>
      </c>
      <c r="AQ11" s="85" t="n">
        <v>1</v>
      </c>
      <c r="AR11" s="85" t="n">
        <v>0</v>
      </c>
      <c r="AS11" s="85" t="n">
        <v>0</v>
      </c>
      <c r="AT11" s="86" t="n">
        <v>0</v>
      </c>
      <c r="AU11" s="84" t="n">
        <v>0</v>
      </c>
      <c r="AV11" s="86" t="n">
        <v>0</v>
      </c>
      <c r="AW11" s="78" t="n">
        <v>11</v>
      </c>
      <c r="AX11" s="79" t="s">
        <v>530</v>
      </c>
      <c r="AY11" s="50"/>
      <c r="AZ11" s="50"/>
      <c r="BA11" s="117" t="n">
        <f aca="false">SUM(A11:AV11)</f>
        <v>49</v>
      </c>
      <c r="BB11" s="74" t="n">
        <v>3</v>
      </c>
      <c r="BC11" s="122" t="s">
        <v>578</v>
      </c>
      <c r="BD11" s="76" t="n">
        <v>0</v>
      </c>
      <c r="BE11" s="76" t="n">
        <f aca="false">_xlfn.RANK.EQ(BD11,$BD$9:$BD$48,0)</f>
        <v>1</v>
      </c>
    </row>
    <row r="12" customFormat="false" ht="18" hidden="false" customHeight="true" outlineLevel="0" collapsed="false">
      <c r="A12" s="88" t="n">
        <v>10</v>
      </c>
      <c r="B12" s="90" t="n">
        <v>0</v>
      </c>
      <c r="C12" s="90" t="n">
        <v>1</v>
      </c>
      <c r="D12" s="90" t="n">
        <v>1</v>
      </c>
      <c r="E12" s="90" t="n">
        <v>0</v>
      </c>
      <c r="F12" s="90" t="n">
        <v>1</v>
      </c>
      <c r="G12" s="90" t="n">
        <v>0</v>
      </c>
      <c r="H12" s="90" t="n">
        <v>1</v>
      </c>
      <c r="I12" s="90" t="n">
        <v>1</v>
      </c>
      <c r="J12" s="90" t="n">
        <v>0</v>
      </c>
      <c r="K12" s="91" t="n">
        <v>0</v>
      </c>
      <c r="L12" s="53" t="n">
        <v>0</v>
      </c>
      <c r="M12" s="90" t="n">
        <v>0</v>
      </c>
      <c r="N12" s="90" t="n">
        <v>0</v>
      </c>
      <c r="O12" s="90" t="n">
        <v>2</v>
      </c>
      <c r="P12" s="90" t="n">
        <v>2</v>
      </c>
      <c r="Q12" s="90" t="n">
        <v>1</v>
      </c>
      <c r="R12" s="90" t="n">
        <v>1</v>
      </c>
      <c r="S12" s="90" t="n">
        <v>11</v>
      </c>
      <c r="T12" s="90" t="n">
        <v>1</v>
      </c>
      <c r="U12" s="90" t="n">
        <v>1</v>
      </c>
      <c r="V12" s="90" t="n">
        <v>0</v>
      </c>
      <c r="W12" s="91" t="n">
        <v>0</v>
      </c>
      <c r="X12" s="88" t="n">
        <v>3</v>
      </c>
      <c r="Y12" s="90" t="n">
        <v>0</v>
      </c>
      <c r="Z12" s="90" t="n">
        <v>0</v>
      </c>
      <c r="AA12" s="90" t="n">
        <v>0</v>
      </c>
      <c r="AB12" s="90" t="n">
        <v>0</v>
      </c>
      <c r="AC12" s="90" t="n">
        <v>0</v>
      </c>
      <c r="AD12" s="90" t="n">
        <v>10</v>
      </c>
      <c r="AE12" s="91" t="n">
        <v>0</v>
      </c>
      <c r="AF12" s="88" t="n">
        <v>1</v>
      </c>
      <c r="AG12" s="90" t="n">
        <v>0</v>
      </c>
      <c r="AH12" s="90" t="n">
        <v>2</v>
      </c>
      <c r="AI12" s="90" t="n">
        <v>2</v>
      </c>
      <c r="AJ12" s="90" t="n">
        <v>0</v>
      </c>
      <c r="AK12" s="90" t="n">
        <v>0</v>
      </c>
      <c r="AL12" s="90" t="n">
        <v>1</v>
      </c>
      <c r="AM12" s="90" t="n">
        <v>0</v>
      </c>
      <c r="AN12" s="91" t="n">
        <v>1</v>
      </c>
      <c r="AO12" s="88" t="n">
        <v>0</v>
      </c>
      <c r="AP12" s="90" t="n">
        <v>1</v>
      </c>
      <c r="AQ12" s="90" t="n">
        <v>1</v>
      </c>
      <c r="AR12" s="90" t="n">
        <v>1</v>
      </c>
      <c r="AS12" s="90" t="n">
        <v>1</v>
      </c>
      <c r="AT12" s="91" t="n">
        <v>0</v>
      </c>
      <c r="AU12" s="88" t="n">
        <v>0</v>
      </c>
      <c r="AV12" s="91" t="n">
        <v>0</v>
      </c>
      <c r="AW12" s="88" t="n">
        <v>12</v>
      </c>
      <c r="AX12" s="89" t="s">
        <v>579</v>
      </c>
      <c r="AY12" s="87" t="s">
        <v>1</v>
      </c>
      <c r="AZ12" s="87"/>
      <c r="BA12" s="117" t="n">
        <f aca="false">SUM(A12:AV12)</f>
        <v>58</v>
      </c>
      <c r="BB12" s="74" t="n">
        <v>4</v>
      </c>
      <c r="BC12" s="122" t="s">
        <v>627</v>
      </c>
      <c r="BD12" s="76" t="n">
        <v>0</v>
      </c>
      <c r="BE12" s="76" t="n">
        <f aca="false">_xlfn.RANK.EQ(BD12,$BD$9:$BD$48,0)</f>
        <v>1</v>
      </c>
    </row>
    <row r="13" customFormat="false" ht="18" hidden="false" customHeight="true" outlineLevel="0" collapsed="false">
      <c r="A13" s="66" t="n">
        <v>1</v>
      </c>
      <c r="B13" s="67" t="n">
        <v>0</v>
      </c>
      <c r="C13" s="68" t="n">
        <v>0</v>
      </c>
      <c r="D13" s="67" t="n">
        <v>1</v>
      </c>
      <c r="E13" s="67" t="n">
        <v>0</v>
      </c>
      <c r="F13" s="68" t="n">
        <v>0</v>
      </c>
      <c r="G13" s="68" t="n">
        <v>0</v>
      </c>
      <c r="H13" s="68" t="n">
        <v>0</v>
      </c>
      <c r="I13" s="68" t="n">
        <v>0</v>
      </c>
      <c r="J13" s="68" t="n">
        <v>0</v>
      </c>
      <c r="K13" s="92" t="n">
        <v>0</v>
      </c>
      <c r="L13" s="64" t="n">
        <v>0</v>
      </c>
      <c r="M13" s="61" t="n">
        <v>0</v>
      </c>
      <c r="N13" s="68" t="n">
        <v>0</v>
      </c>
      <c r="O13" s="68" t="n">
        <v>0</v>
      </c>
      <c r="P13" s="68" t="n">
        <v>0</v>
      </c>
      <c r="Q13" s="68" t="n">
        <v>0</v>
      </c>
      <c r="R13" s="68" t="n">
        <v>0</v>
      </c>
      <c r="S13" s="68" t="n">
        <v>1</v>
      </c>
      <c r="T13" s="68" t="n">
        <v>0</v>
      </c>
      <c r="U13" s="68" t="n">
        <v>1</v>
      </c>
      <c r="V13" s="68" t="n">
        <v>1</v>
      </c>
      <c r="W13" s="69" t="n">
        <v>0</v>
      </c>
      <c r="X13" s="66" t="n">
        <v>3</v>
      </c>
      <c r="Y13" s="68" t="n">
        <v>0</v>
      </c>
      <c r="Z13" s="68" t="n">
        <v>0</v>
      </c>
      <c r="AA13" s="68" t="n">
        <v>1</v>
      </c>
      <c r="AB13" s="68" t="n">
        <v>0</v>
      </c>
      <c r="AC13" s="68" t="n">
        <v>0</v>
      </c>
      <c r="AD13" s="68" t="n">
        <v>10</v>
      </c>
      <c r="AE13" s="69" t="n">
        <v>0</v>
      </c>
      <c r="AF13" s="66" t="n">
        <v>0</v>
      </c>
      <c r="AG13" s="68" t="n">
        <v>0</v>
      </c>
      <c r="AH13" s="68" t="n">
        <v>1</v>
      </c>
      <c r="AI13" s="68" t="n">
        <v>0</v>
      </c>
      <c r="AJ13" s="68" t="n">
        <v>1</v>
      </c>
      <c r="AK13" s="68" t="n">
        <v>0</v>
      </c>
      <c r="AL13" s="68" t="n">
        <v>1</v>
      </c>
      <c r="AM13" s="68" t="n">
        <v>0</v>
      </c>
      <c r="AN13" s="69" t="n">
        <v>10</v>
      </c>
      <c r="AO13" s="66" t="n">
        <v>0</v>
      </c>
      <c r="AP13" s="68" t="n">
        <v>0</v>
      </c>
      <c r="AQ13" s="68" t="n">
        <v>10</v>
      </c>
      <c r="AR13" s="68" t="n">
        <v>0</v>
      </c>
      <c r="AS13" s="68" t="n">
        <v>0</v>
      </c>
      <c r="AT13" s="69" t="n">
        <v>0</v>
      </c>
      <c r="AU13" s="66" t="n">
        <v>0</v>
      </c>
      <c r="AV13" s="69" t="n">
        <v>0</v>
      </c>
      <c r="AW13" s="66" t="n">
        <v>13</v>
      </c>
      <c r="AX13" s="65" t="s">
        <v>628</v>
      </c>
      <c r="AY13" s="87"/>
      <c r="AZ13" s="87"/>
      <c r="BA13" s="117" t="n">
        <f aca="false">SUM(A13:AV13)</f>
        <v>42</v>
      </c>
      <c r="BB13" s="74" t="n">
        <v>5</v>
      </c>
      <c r="BC13" s="122" t="s">
        <v>676</v>
      </c>
      <c r="BD13" s="76" t="n">
        <v>0</v>
      </c>
      <c r="BE13" s="76" t="n">
        <f aca="false">_xlfn.RANK.EQ(BD13,$BD$9:$BD$48,0)</f>
        <v>1</v>
      </c>
    </row>
    <row r="14" customFormat="false" ht="18" hidden="false" customHeight="true" outlineLevel="0" collapsed="false">
      <c r="A14" s="60" t="n">
        <v>1</v>
      </c>
      <c r="B14" s="62" t="n">
        <v>10</v>
      </c>
      <c r="C14" s="62" t="n">
        <v>1</v>
      </c>
      <c r="D14" s="62" t="n">
        <v>2</v>
      </c>
      <c r="E14" s="62" t="n">
        <v>1</v>
      </c>
      <c r="F14" s="62" t="n">
        <v>1</v>
      </c>
      <c r="G14" s="62" t="n">
        <v>0</v>
      </c>
      <c r="H14" s="62" t="n">
        <v>1</v>
      </c>
      <c r="I14" s="62" t="n">
        <v>1</v>
      </c>
      <c r="J14" s="62" t="n">
        <v>0</v>
      </c>
      <c r="K14" s="63" t="n">
        <v>0</v>
      </c>
      <c r="L14" s="60" t="n">
        <v>0</v>
      </c>
      <c r="M14" s="62" t="n">
        <v>0</v>
      </c>
      <c r="N14" s="61" t="n">
        <v>0</v>
      </c>
      <c r="O14" s="62" t="n">
        <v>1</v>
      </c>
      <c r="P14" s="62" t="n">
        <v>2</v>
      </c>
      <c r="Q14" s="62" t="n">
        <v>1</v>
      </c>
      <c r="R14" s="62" t="n">
        <v>0</v>
      </c>
      <c r="S14" s="62" t="n">
        <v>1</v>
      </c>
      <c r="T14" s="62" t="n">
        <v>0</v>
      </c>
      <c r="U14" s="62" t="n">
        <v>0</v>
      </c>
      <c r="V14" s="62" t="n">
        <v>0</v>
      </c>
      <c r="W14" s="63" t="n">
        <v>0</v>
      </c>
      <c r="X14" s="60" t="n">
        <v>1</v>
      </c>
      <c r="Y14" s="62" t="n">
        <v>1</v>
      </c>
      <c r="Z14" s="62" t="n">
        <v>1</v>
      </c>
      <c r="AA14" s="62" t="n">
        <v>1</v>
      </c>
      <c r="AB14" s="62" t="n">
        <v>0</v>
      </c>
      <c r="AC14" s="62" t="n">
        <v>0</v>
      </c>
      <c r="AD14" s="62" t="n">
        <v>1</v>
      </c>
      <c r="AE14" s="63" t="n">
        <v>0</v>
      </c>
      <c r="AF14" s="60" t="n">
        <v>11</v>
      </c>
      <c r="AG14" s="62" t="n">
        <v>0</v>
      </c>
      <c r="AH14" s="62" t="n">
        <v>1</v>
      </c>
      <c r="AI14" s="62" t="n">
        <v>0</v>
      </c>
      <c r="AJ14" s="62" t="n">
        <v>1</v>
      </c>
      <c r="AK14" s="62" t="n">
        <v>0</v>
      </c>
      <c r="AL14" s="62" t="n">
        <v>0</v>
      </c>
      <c r="AM14" s="62" t="n">
        <v>0</v>
      </c>
      <c r="AN14" s="63" t="n">
        <v>0</v>
      </c>
      <c r="AO14" s="60" t="n">
        <v>1</v>
      </c>
      <c r="AP14" s="62" t="n">
        <v>1</v>
      </c>
      <c r="AQ14" s="62" t="n">
        <v>0</v>
      </c>
      <c r="AR14" s="62" t="n">
        <v>0</v>
      </c>
      <c r="AS14" s="62" t="n">
        <v>0</v>
      </c>
      <c r="AT14" s="63" t="n">
        <v>1</v>
      </c>
      <c r="AU14" s="60" t="n">
        <v>0</v>
      </c>
      <c r="AV14" s="63" t="n">
        <v>1</v>
      </c>
      <c r="AW14" s="60" t="n">
        <v>14</v>
      </c>
      <c r="AX14" s="59" t="s">
        <v>19</v>
      </c>
      <c r="AY14" s="87"/>
      <c r="AZ14" s="87"/>
      <c r="BA14" s="117" t="n">
        <f aca="false">SUM(A14:AV14)</f>
        <v>45</v>
      </c>
      <c r="BB14" s="74" t="n">
        <v>6</v>
      </c>
      <c r="BC14" s="122" t="s">
        <v>724</v>
      </c>
      <c r="BD14" s="76" t="n">
        <v>0</v>
      </c>
      <c r="BE14" s="76" t="n">
        <f aca="false">_xlfn.RANK.EQ(BD14,$BD$9:$BD$48,0)</f>
        <v>1</v>
      </c>
    </row>
    <row r="15" customFormat="false" ht="18" hidden="false" customHeight="true" outlineLevel="0" collapsed="false">
      <c r="A15" s="66" t="n">
        <v>1</v>
      </c>
      <c r="B15" s="67" t="n">
        <v>1</v>
      </c>
      <c r="C15" s="68" t="n">
        <v>0</v>
      </c>
      <c r="D15" s="67" t="n">
        <v>0</v>
      </c>
      <c r="E15" s="67" t="n">
        <v>10</v>
      </c>
      <c r="F15" s="68" t="n">
        <v>10</v>
      </c>
      <c r="G15" s="68" t="n">
        <v>11</v>
      </c>
      <c r="H15" s="68" t="n">
        <v>10</v>
      </c>
      <c r="I15" s="68" t="n">
        <v>0</v>
      </c>
      <c r="J15" s="68" t="n">
        <v>1</v>
      </c>
      <c r="K15" s="69" t="n">
        <v>1</v>
      </c>
      <c r="L15" s="66" t="n">
        <v>1</v>
      </c>
      <c r="M15" s="67" t="n">
        <v>1</v>
      </c>
      <c r="N15" s="67" t="n">
        <v>2</v>
      </c>
      <c r="O15" s="61" t="n">
        <v>0</v>
      </c>
      <c r="P15" s="68" t="n">
        <v>0</v>
      </c>
      <c r="Q15" s="68" t="n">
        <v>10</v>
      </c>
      <c r="R15" s="68" t="n">
        <v>1</v>
      </c>
      <c r="S15" s="68" t="n">
        <v>1</v>
      </c>
      <c r="T15" s="68" t="n">
        <v>0</v>
      </c>
      <c r="U15" s="68" t="n">
        <v>2</v>
      </c>
      <c r="V15" s="68" t="n">
        <v>0</v>
      </c>
      <c r="W15" s="69" t="n">
        <v>0</v>
      </c>
      <c r="X15" s="66" t="n">
        <v>1</v>
      </c>
      <c r="Y15" s="68" t="n">
        <v>1</v>
      </c>
      <c r="Z15" s="68" t="n">
        <v>0</v>
      </c>
      <c r="AA15" s="68" t="n">
        <v>1</v>
      </c>
      <c r="AB15" s="68" t="n">
        <v>1</v>
      </c>
      <c r="AC15" s="68" t="n">
        <v>1</v>
      </c>
      <c r="AD15" s="68" t="n">
        <v>10</v>
      </c>
      <c r="AE15" s="69" t="n">
        <v>1</v>
      </c>
      <c r="AF15" s="66" t="n">
        <v>10</v>
      </c>
      <c r="AG15" s="68" t="n">
        <v>0</v>
      </c>
      <c r="AH15" s="68" t="n">
        <v>10</v>
      </c>
      <c r="AI15" s="68" t="n">
        <v>1</v>
      </c>
      <c r="AJ15" s="68" t="n">
        <v>11</v>
      </c>
      <c r="AK15" s="68" t="n">
        <v>2</v>
      </c>
      <c r="AL15" s="68" t="n">
        <v>1</v>
      </c>
      <c r="AM15" s="68" t="n">
        <v>1</v>
      </c>
      <c r="AN15" s="69" t="n">
        <v>1</v>
      </c>
      <c r="AO15" s="66" t="n">
        <v>10</v>
      </c>
      <c r="AP15" s="68" t="n">
        <v>1</v>
      </c>
      <c r="AQ15" s="68" t="n">
        <v>0</v>
      </c>
      <c r="AR15" s="68" t="n">
        <v>0</v>
      </c>
      <c r="AS15" s="68" t="n">
        <v>0</v>
      </c>
      <c r="AT15" s="69" t="n">
        <v>0</v>
      </c>
      <c r="AU15" s="66" t="n">
        <v>0</v>
      </c>
      <c r="AV15" s="69" t="n">
        <v>0</v>
      </c>
      <c r="AW15" s="66" t="n">
        <v>15</v>
      </c>
      <c r="AX15" s="65" t="s">
        <v>20</v>
      </c>
      <c r="AY15" s="87"/>
      <c r="AZ15" s="87"/>
      <c r="BA15" s="117" t="n">
        <f aca="false">SUM(A15:AV15)</f>
        <v>127</v>
      </c>
      <c r="BB15" s="74" t="n">
        <v>7</v>
      </c>
      <c r="BC15" s="122" t="s">
        <v>772</v>
      </c>
      <c r="BD15" s="76" t="n">
        <v>0</v>
      </c>
      <c r="BE15" s="76" t="n">
        <f aca="false">_xlfn.RANK.EQ(BD15,$BD$9:$BD$48,0)</f>
        <v>1</v>
      </c>
    </row>
    <row r="16" customFormat="false" ht="18" hidden="false" customHeight="true" outlineLevel="0" collapsed="false">
      <c r="A16" s="60" t="n">
        <v>1</v>
      </c>
      <c r="B16" s="62" t="n">
        <v>1</v>
      </c>
      <c r="C16" s="62" t="n">
        <v>2</v>
      </c>
      <c r="D16" s="62" t="n">
        <v>1</v>
      </c>
      <c r="E16" s="62" t="n">
        <v>10</v>
      </c>
      <c r="F16" s="62" t="n">
        <v>1</v>
      </c>
      <c r="G16" s="62" t="n">
        <v>0</v>
      </c>
      <c r="H16" s="62" t="n">
        <v>0</v>
      </c>
      <c r="I16" s="62" t="n">
        <v>2</v>
      </c>
      <c r="J16" s="62" t="n">
        <v>0</v>
      </c>
      <c r="K16" s="63" t="n">
        <v>0</v>
      </c>
      <c r="L16" s="60" t="n">
        <v>2</v>
      </c>
      <c r="M16" s="62" t="n">
        <v>1</v>
      </c>
      <c r="N16" s="62" t="n">
        <v>0</v>
      </c>
      <c r="O16" s="62" t="n">
        <v>0</v>
      </c>
      <c r="P16" s="61" t="n">
        <v>0</v>
      </c>
      <c r="Q16" s="62" t="n">
        <v>10</v>
      </c>
      <c r="R16" s="62" t="n">
        <v>1</v>
      </c>
      <c r="S16" s="62" t="n">
        <v>1</v>
      </c>
      <c r="T16" s="62" t="n">
        <v>1</v>
      </c>
      <c r="U16" s="62" t="n">
        <v>0</v>
      </c>
      <c r="V16" s="62" t="n">
        <v>0</v>
      </c>
      <c r="W16" s="63" t="n">
        <v>0</v>
      </c>
      <c r="X16" s="60" t="n">
        <v>2</v>
      </c>
      <c r="Y16" s="62" t="n">
        <v>0</v>
      </c>
      <c r="Z16" s="62" t="n">
        <v>0</v>
      </c>
      <c r="AA16" s="62" t="n">
        <v>2</v>
      </c>
      <c r="AB16" s="62" t="n">
        <v>0</v>
      </c>
      <c r="AC16" s="62" t="n">
        <v>0</v>
      </c>
      <c r="AD16" s="62" t="n">
        <v>11</v>
      </c>
      <c r="AE16" s="63" t="n">
        <v>0</v>
      </c>
      <c r="AF16" s="60" t="n">
        <v>1</v>
      </c>
      <c r="AG16" s="62" t="n">
        <v>1</v>
      </c>
      <c r="AH16" s="62" t="n">
        <v>1</v>
      </c>
      <c r="AI16" s="62" t="n">
        <v>1</v>
      </c>
      <c r="AJ16" s="62" t="n">
        <v>11</v>
      </c>
      <c r="AK16" s="62" t="n">
        <v>0</v>
      </c>
      <c r="AL16" s="62" t="n">
        <v>10</v>
      </c>
      <c r="AM16" s="62" t="n">
        <v>0</v>
      </c>
      <c r="AN16" s="63" t="n">
        <v>0</v>
      </c>
      <c r="AO16" s="60" t="n">
        <v>0</v>
      </c>
      <c r="AP16" s="62" t="n">
        <v>1</v>
      </c>
      <c r="AQ16" s="62" t="n">
        <v>1</v>
      </c>
      <c r="AR16" s="62" t="n">
        <v>2</v>
      </c>
      <c r="AS16" s="62" t="n">
        <v>1</v>
      </c>
      <c r="AT16" s="63" t="n">
        <v>1</v>
      </c>
      <c r="AU16" s="60" t="n">
        <v>0</v>
      </c>
      <c r="AV16" s="63" t="n">
        <v>0</v>
      </c>
      <c r="AW16" s="60" t="n">
        <v>16</v>
      </c>
      <c r="AX16" s="59" t="s">
        <v>773</v>
      </c>
      <c r="AY16" s="87"/>
      <c r="AZ16" s="87"/>
      <c r="BA16" s="117" t="n">
        <f aca="false">SUM(A16:AV16)</f>
        <v>80</v>
      </c>
      <c r="BB16" s="74" t="n">
        <v>8</v>
      </c>
      <c r="BC16" s="122" t="s">
        <v>821</v>
      </c>
      <c r="BD16" s="76" t="n">
        <v>0</v>
      </c>
      <c r="BE16" s="76" t="n">
        <f aca="false">_xlfn.RANK.EQ(BD16,$BD$9:$BD$48,0)</f>
        <v>1</v>
      </c>
    </row>
    <row r="17" customFormat="false" ht="18" hidden="false" customHeight="true" outlineLevel="0" collapsed="false">
      <c r="A17" s="66" t="n">
        <v>0</v>
      </c>
      <c r="B17" s="67" t="n">
        <v>0</v>
      </c>
      <c r="C17" s="68" t="n">
        <v>1</v>
      </c>
      <c r="D17" s="67" t="n">
        <v>0</v>
      </c>
      <c r="E17" s="67" t="n">
        <v>1</v>
      </c>
      <c r="F17" s="68" t="n">
        <v>0</v>
      </c>
      <c r="G17" s="68" t="n">
        <v>0</v>
      </c>
      <c r="H17" s="68" t="n">
        <v>0</v>
      </c>
      <c r="I17" s="68" t="n">
        <v>0</v>
      </c>
      <c r="J17" s="68" t="n">
        <v>0</v>
      </c>
      <c r="K17" s="69" t="n">
        <v>0</v>
      </c>
      <c r="L17" s="66" t="n">
        <v>0</v>
      </c>
      <c r="M17" s="67" t="n">
        <v>0</v>
      </c>
      <c r="N17" s="67" t="n">
        <v>10</v>
      </c>
      <c r="O17" s="67" t="n">
        <v>0</v>
      </c>
      <c r="P17" s="68" t="n">
        <v>0</v>
      </c>
      <c r="Q17" s="61" t="n">
        <v>0</v>
      </c>
      <c r="R17" s="68" t="n">
        <v>0</v>
      </c>
      <c r="S17" s="68" t="n">
        <v>0</v>
      </c>
      <c r="T17" s="68" t="n">
        <v>0</v>
      </c>
      <c r="U17" s="68" t="n">
        <v>1</v>
      </c>
      <c r="V17" s="68" t="n">
        <v>0</v>
      </c>
      <c r="W17" s="69" t="n">
        <v>0</v>
      </c>
      <c r="X17" s="66" t="n">
        <v>2</v>
      </c>
      <c r="Y17" s="68" t="n">
        <v>1</v>
      </c>
      <c r="Z17" s="68" t="n">
        <v>0</v>
      </c>
      <c r="AA17" s="68" t="n">
        <v>1</v>
      </c>
      <c r="AB17" s="68" t="n">
        <v>0</v>
      </c>
      <c r="AC17" s="68" t="n">
        <v>1</v>
      </c>
      <c r="AD17" s="68" t="n">
        <v>1</v>
      </c>
      <c r="AE17" s="69" t="n">
        <v>2</v>
      </c>
      <c r="AF17" s="66" t="n">
        <v>2</v>
      </c>
      <c r="AG17" s="68" t="n">
        <v>1</v>
      </c>
      <c r="AH17" s="68" t="n">
        <v>1</v>
      </c>
      <c r="AI17" s="68" t="n">
        <v>0</v>
      </c>
      <c r="AJ17" s="68" t="n">
        <v>1</v>
      </c>
      <c r="AK17" s="68" t="n">
        <v>0</v>
      </c>
      <c r="AL17" s="68" t="n">
        <v>0</v>
      </c>
      <c r="AM17" s="68" t="n">
        <v>0</v>
      </c>
      <c r="AN17" s="69" t="n">
        <v>0</v>
      </c>
      <c r="AO17" s="66" t="n">
        <v>1</v>
      </c>
      <c r="AP17" s="68" t="n">
        <v>0</v>
      </c>
      <c r="AQ17" s="68" t="n">
        <v>0</v>
      </c>
      <c r="AR17" s="68" t="n">
        <v>10</v>
      </c>
      <c r="AS17" s="68" t="n">
        <v>0</v>
      </c>
      <c r="AT17" s="69" t="n">
        <v>0</v>
      </c>
      <c r="AU17" s="66" t="n">
        <v>0</v>
      </c>
      <c r="AV17" s="69" t="n">
        <v>0</v>
      </c>
      <c r="AW17" s="66" t="n">
        <v>17</v>
      </c>
      <c r="AX17" s="65" t="s">
        <v>822</v>
      </c>
      <c r="AY17" s="87"/>
      <c r="AZ17" s="87"/>
      <c r="BA17" s="117" t="n">
        <f aca="false">SUM(A17:AV17)</f>
        <v>37</v>
      </c>
      <c r="BB17" s="74" t="n">
        <v>9</v>
      </c>
      <c r="BC17" s="122" t="s">
        <v>870</v>
      </c>
      <c r="BD17" s="76" t="n">
        <v>0</v>
      </c>
      <c r="BE17" s="76" t="n">
        <f aca="false">_xlfn.RANK.EQ(BD17,$BD$9:$BD$48,0)</f>
        <v>1</v>
      </c>
    </row>
    <row r="18" customFormat="false" ht="18" hidden="false" customHeight="true" outlineLevel="0" collapsed="false">
      <c r="A18" s="60" t="n">
        <v>0</v>
      </c>
      <c r="B18" s="62" t="n">
        <v>0</v>
      </c>
      <c r="C18" s="62" t="n">
        <v>10</v>
      </c>
      <c r="D18" s="62" t="n">
        <v>1</v>
      </c>
      <c r="E18" s="62" t="n">
        <v>1</v>
      </c>
      <c r="F18" s="62" t="n">
        <v>1</v>
      </c>
      <c r="G18" s="62" t="n">
        <v>1</v>
      </c>
      <c r="H18" s="62" t="n">
        <v>1</v>
      </c>
      <c r="I18" s="62" t="n">
        <v>2</v>
      </c>
      <c r="J18" s="62" t="n">
        <v>0</v>
      </c>
      <c r="K18" s="63" t="n">
        <v>1</v>
      </c>
      <c r="L18" s="60" t="n">
        <v>1</v>
      </c>
      <c r="M18" s="62" t="n">
        <v>0</v>
      </c>
      <c r="N18" s="62" t="n">
        <v>11</v>
      </c>
      <c r="O18" s="62" t="n">
        <v>2</v>
      </c>
      <c r="P18" s="62" t="n">
        <v>2</v>
      </c>
      <c r="Q18" s="62" t="n">
        <v>2</v>
      </c>
      <c r="R18" s="61" t="n">
        <v>0</v>
      </c>
      <c r="S18" s="62" t="n">
        <v>0</v>
      </c>
      <c r="T18" s="62" t="n">
        <v>0</v>
      </c>
      <c r="U18" s="62" t="n">
        <v>2</v>
      </c>
      <c r="V18" s="62" t="n">
        <v>0</v>
      </c>
      <c r="W18" s="63" t="n">
        <v>0</v>
      </c>
      <c r="X18" s="60" t="n">
        <v>1</v>
      </c>
      <c r="Y18" s="62" t="n">
        <v>2</v>
      </c>
      <c r="Z18" s="62" t="n">
        <v>2</v>
      </c>
      <c r="AA18" s="62" t="n">
        <v>11</v>
      </c>
      <c r="AB18" s="62" t="n">
        <v>1</v>
      </c>
      <c r="AC18" s="62" t="n">
        <v>0</v>
      </c>
      <c r="AD18" s="62" t="n">
        <v>11</v>
      </c>
      <c r="AE18" s="63" t="n">
        <v>11</v>
      </c>
      <c r="AF18" s="60" t="n">
        <v>11</v>
      </c>
      <c r="AG18" s="62" t="n">
        <v>2</v>
      </c>
      <c r="AH18" s="62" t="n">
        <v>1</v>
      </c>
      <c r="AI18" s="62" t="n">
        <v>1</v>
      </c>
      <c r="AJ18" s="62" t="n">
        <v>3</v>
      </c>
      <c r="AK18" s="62" t="n">
        <v>1</v>
      </c>
      <c r="AL18" s="62" t="n">
        <v>1</v>
      </c>
      <c r="AM18" s="62" t="n">
        <v>1</v>
      </c>
      <c r="AN18" s="63" t="n">
        <v>1</v>
      </c>
      <c r="AO18" s="60" t="n">
        <v>0</v>
      </c>
      <c r="AP18" s="62" t="n">
        <v>2</v>
      </c>
      <c r="AQ18" s="62" t="n">
        <v>0</v>
      </c>
      <c r="AR18" s="62" t="n">
        <v>1</v>
      </c>
      <c r="AS18" s="62" t="n">
        <v>0</v>
      </c>
      <c r="AT18" s="63" t="n">
        <v>1</v>
      </c>
      <c r="AU18" s="60" t="n">
        <v>0</v>
      </c>
      <c r="AV18" s="63" t="n">
        <v>1</v>
      </c>
      <c r="AW18" s="60" t="n">
        <v>18</v>
      </c>
      <c r="AX18" s="59" t="s">
        <v>23</v>
      </c>
      <c r="AY18" s="87"/>
      <c r="AZ18" s="87"/>
      <c r="BA18" s="117" t="n">
        <f aca="false">SUM(A18:AV18)</f>
        <v>104</v>
      </c>
      <c r="BB18" s="74" t="n">
        <v>10</v>
      </c>
      <c r="BC18" s="122" t="s">
        <v>918</v>
      </c>
      <c r="BD18" s="76" t="n">
        <v>0</v>
      </c>
      <c r="BE18" s="76" t="n">
        <f aca="false">_xlfn.RANK.EQ(BD18,$BD$9:$BD$48,0)</f>
        <v>1</v>
      </c>
    </row>
    <row r="19" customFormat="false" ht="18" hidden="false" customHeight="true" outlineLevel="0" collapsed="false">
      <c r="A19" s="66" t="n">
        <v>0</v>
      </c>
      <c r="B19" s="67" t="n">
        <v>0</v>
      </c>
      <c r="C19" s="68" t="n">
        <v>0</v>
      </c>
      <c r="D19" s="67" t="n">
        <v>1</v>
      </c>
      <c r="E19" s="67" t="n">
        <v>1</v>
      </c>
      <c r="F19" s="68" t="n">
        <v>0</v>
      </c>
      <c r="G19" s="68" t="n">
        <v>1</v>
      </c>
      <c r="H19" s="68" t="n">
        <v>0</v>
      </c>
      <c r="I19" s="68" t="n">
        <v>1</v>
      </c>
      <c r="J19" s="68" t="n">
        <v>1</v>
      </c>
      <c r="K19" s="69" t="n">
        <v>0</v>
      </c>
      <c r="L19" s="66" t="n">
        <v>0</v>
      </c>
      <c r="M19" s="68" t="n">
        <v>1</v>
      </c>
      <c r="N19" s="68" t="n">
        <v>0</v>
      </c>
      <c r="O19" s="68" t="n">
        <v>1</v>
      </c>
      <c r="P19" s="68" t="n">
        <v>1</v>
      </c>
      <c r="Q19" s="67" t="n">
        <v>1</v>
      </c>
      <c r="R19" s="67" t="n">
        <v>1</v>
      </c>
      <c r="S19" s="61" t="n">
        <v>0</v>
      </c>
      <c r="T19" s="68" t="n">
        <v>1</v>
      </c>
      <c r="U19" s="68" t="n">
        <v>1</v>
      </c>
      <c r="V19" s="68" t="n">
        <v>0</v>
      </c>
      <c r="W19" s="69" t="n">
        <v>1</v>
      </c>
      <c r="X19" s="66" t="n">
        <v>0</v>
      </c>
      <c r="Y19" s="68" t="n">
        <v>0</v>
      </c>
      <c r="Z19" s="68" t="n">
        <v>10</v>
      </c>
      <c r="AA19" s="68" t="n">
        <v>1</v>
      </c>
      <c r="AB19" s="68" t="n">
        <v>0</v>
      </c>
      <c r="AC19" s="68" t="n">
        <v>0</v>
      </c>
      <c r="AD19" s="68" t="n">
        <v>1</v>
      </c>
      <c r="AE19" s="69" t="n">
        <v>0</v>
      </c>
      <c r="AF19" s="66" t="n">
        <v>10</v>
      </c>
      <c r="AG19" s="68" t="n">
        <v>0</v>
      </c>
      <c r="AH19" s="68" t="n">
        <v>1</v>
      </c>
      <c r="AI19" s="68" t="n">
        <v>1</v>
      </c>
      <c r="AJ19" s="68" t="n">
        <v>0</v>
      </c>
      <c r="AK19" s="68" t="n">
        <v>1</v>
      </c>
      <c r="AL19" s="68" t="n">
        <v>0</v>
      </c>
      <c r="AM19" s="68" t="n">
        <v>0</v>
      </c>
      <c r="AN19" s="69" t="n">
        <v>1</v>
      </c>
      <c r="AO19" s="66" t="n">
        <v>1</v>
      </c>
      <c r="AP19" s="68" t="n">
        <v>1</v>
      </c>
      <c r="AQ19" s="68" t="n">
        <v>1</v>
      </c>
      <c r="AR19" s="68" t="n">
        <v>0</v>
      </c>
      <c r="AS19" s="68" t="n">
        <v>0</v>
      </c>
      <c r="AT19" s="69" t="n">
        <v>0</v>
      </c>
      <c r="AU19" s="66" t="n">
        <v>0</v>
      </c>
      <c r="AV19" s="69" t="n">
        <v>0</v>
      </c>
      <c r="AW19" s="66" t="n">
        <v>19</v>
      </c>
      <c r="AX19" s="65" t="s">
        <v>24</v>
      </c>
      <c r="AY19" s="87"/>
      <c r="AZ19" s="87"/>
      <c r="BA19" s="117" t="n">
        <f aca="false">SUM(A19:AV19)</f>
        <v>42</v>
      </c>
      <c r="BB19" s="74" t="n">
        <v>11</v>
      </c>
      <c r="BC19" s="122" t="s">
        <v>966</v>
      </c>
      <c r="BD19" s="76" t="n">
        <v>0</v>
      </c>
      <c r="BE19" s="76" t="n">
        <f aca="false">_xlfn.RANK.EQ(BD19,$BD$9:$BD$48,0)</f>
        <v>1</v>
      </c>
    </row>
    <row r="20" customFormat="false" ht="18" hidden="false" customHeight="true" outlineLevel="0" collapsed="false">
      <c r="A20" s="60" t="n">
        <v>1</v>
      </c>
      <c r="B20" s="62" t="n">
        <v>1</v>
      </c>
      <c r="C20" s="62" t="n">
        <v>2</v>
      </c>
      <c r="D20" s="62" t="n">
        <v>1</v>
      </c>
      <c r="E20" s="62" t="n">
        <v>0</v>
      </c>
      <c r="F20" s="62" t="n">
        <v>0</v>
      </c>
      <c r="G20" s="62" t="n">
        <v>1</v>
      </c>
      <c r="H20" s="62" t="n">
        <v>0</v>
      </c>
      <c r="I20" s="62" t="n">
        <v>0</v>
      </c>
      <c r="J20" s="62" t="n">
        <v>0</v>
      </c>
      <c r="K20" s="63" t="n">
        <v>0</v>
      </c>
      <c r="L20" s="60" t="n">
        <v>0</v>
      </c>
      <c r="M20" s="62" t="n">
        <v>0</v>
      </c>
      <c r="N20" s="62" t="n">
        <v>1</v>
      </c>
      <c r="O20" s="62" t="n">
        <v>0</v>
      </c>
      <c r="P20" s="62" t="n">
        <v>0</v>
      </c>
      <c r="Q20" s="62" t="n">
        <v>0</v>
      </c>
      <c r="R20" s="62" t="n">
        <v>0</v>
      </c>
      <c r="S20" s="62" t="n">
        <v>0</v>
      </c>
      <c r="T20" s="61" t="n">
        <v>0</v>
      </c>
      <c r="U20" s="62" t="n">
        <v>0</v>
      </c>
      <c r="V20" s="62" t="n">
        <v>0</v>
      </c>
      <c r="W20" s="63" t="n">
        <v>1</v>
      </c>
      <c r="X20" s="60" t="n">
        <v>10</v>
      </c>
      <c r="Y20" s="62" t="n">
        <v>1</v>
      </c>
      <c r="Z20" s="62" t="n">
        <v>0</v>
      </c>
      <c r="AA20" s="62" t="n">
        <v>1</v>
      </c>
      <c r="AB20" s="62" t="n">
        <v>0</v>
      </c>
      <c r="AC20" s="62" t="n">
        <v>0</v>
      </c>
      <c r="AD20" s="62" t="n">
        <v>1</v>
      </c>
      <c r="AE20" s="63" t="n">
        <v>0</v>
      </c>
      <c r="AF20" s="60" t="n">
        <v>2</v>
      </c>
      <c r="AG20" s="62" t="n">
        <v>1</v>
      </c>
      <c r="AH20" s="62" t="n">
        <v>1</v>
      </c>
      <c r="AI20" s="62" t="n">
        <v>0</v>
      </c>
      <c r="AJ20" s="62" t="n">
        <v>10</v>
      </c>
      <c r="AK20" s="62" t="n">
        <v>1</v>
      </c>
      <c r="AL20" s="62" t="n">
        <v>0</v>
      </c>
      <c r="AM20" s="62" t="n">
        <v>0</v>
      </c>
      <c r="AN20" s="63" t="n">
        <v>1</v>
      </c>
      <c r="AO20" s="60" t="n">
        <v>0</v>
      </c>
      <c r="AP20" s="62" t="n">
        <v>0</v>
      </c>
      <c r="AQ20" s="62" t="n">
        <v>10</v>
      </c>
      <c r="AR20" s="62" t="n">
        <v>10</v>
      </c>
      <c r="AS20" s="62" t="n">
        <v>1</v>
      </c>
      <c r="AT20" s="63" t="n">
        <v>11</v>
      </c>
      <c r="AU20" s="60" t="n">
        <v>1</v>
      </c>
      <c r="AV20" s="63" t="n">
        <v>0</v>
      </c>
      <c r="AW20" s="60" t="n">
        <v>20</v>
      </c>
      <c r="AX20" s="59" t="s">
        <v>25</v>
      </c>
      <c r="AY20" s="87"/>
      <c r="AZ20" s="87"/>
      <c r="BA20" s="117" t="n">
        <f aca="false">SUM(A20:AV20)</f>
        <v>70</v>
      </c>
      <c r="BB20" s="120" t="n">
        <v>12</v>
      </c>
      <c r="BC20" s="121" t="s">
        <v>1014</v>
      </c>
      <c r="BD20" s="76" t="n">
        <v>0</v>
      </c>
      <c r="BE20" s="76" t="n">
        <f aca="false">_xlfn.RANK.EQ(BD20,$BD$9:$BD$48,0)</f>
        <v>1</v>
      </c>
    </row>
    <row r="21" customFormat="false" ht="18" hidden="false" customHeight="true" outlineLevel="0" collapsed="false">
      <c r="A21" s="66" t="n">
        <v>0</v>
      </c>
      <c r="B21" s="67" t="n">
        <v>1</v>
      </c>
      <c r="C21" s="68" t="n">
        <v>2</v>
      </c>
      <c r="D21" s="67" t="n">
        <v>1</v>
      </c>
      <c r="E21" s="67" t="n">
        <v>1</v>
      </c>
      <c r="F21" s="68" t="n">
        <v>0</v>
      </c>
      <c r="G21" s="68" t="n">
        <v>0</v>
      </c>
      <c r="H21" s="68" t="n">
        <v>0</v>
      </c>
      <c r="I21" s="68" t="n">
        <v>10</v>
      </c>
      <c r="J21" s="68" t="n">
        <v>1</v>
      </c>
      <c r="K21" s="69" t="n">
        <v>0</v>
      </c>
      <c r="L21" s="66" t="n">
        <v>0</v>
      </c>
      <c r="M21" s="68" t="n">
        <v>0</v>
      </c>
      <c r="N21" s="68" t="n">
        <v>1</v>
      </c>
      <c r="O21" s="68" t="n">
        <v>1</v>
      </c>
      <c r="P21" s="68" t="n">
        <v>0</v>
      </c>
      <c r="Q21" s="68" t="n">
        <v>1</v>
      </c>
      <c r="R21" s="68" t="n">
        <v>0</v>
      </c>
      <c r="S21" s="67" t="n">
        <v>0</v>
      </c>
      <c r="T21" s="67" t="n">
        <v>0</v>
      </c>
      <c r="U21" s="61" t="n">
        <v>0</v>
      </c>
      <c r="V21" s="68" t="n">
        <v>1</v>
      </c>
      <c r="W21" s="69" t="n">
        <v>1</v>
      </c>
      <c r="X21" s="66" t="n">
        <v>2</v>
      </c>
      <c r="Y21" s="68" t="n">
        <v>1</v>
      </c>
      <c r="Z21" s="68" t="n">
        <v>0</v>
      </c>
      <c r="AA21" s="68" t="n">
        <v>1</v>
      </c>
      <c r="AB21" s="68" t="n">
        <v>0</v>
      </c>
      <c r="AC21" s="68" t="n">
        <v>0</v>
      </c>
      <c r="AD21" s="68" t="n">
        <v>12</v>
      </c>
      <c r="AE21" s="69" t="n">
        <v>1</v>
      </c>
      <c r="AF21" s="66" t="n">
        <v>1</v>
      </c>
      <c r="AG21" s="68" t="n">
        <v>10</v>
      </c>
      <c r="AH21" s="68" t="n">
        <v>0</v>
      </c>
      <c r="AI21" s="68" t="n">
        <v>0</v>
      </c>
      <c r="AJ21" s="68" t="n">
        <v>1</v>
      </c>
      <c r="AK21" s="68" t="n">
        <v>0</v>
      </c>
      <c r="AL21" s="68" t="n">
        <v>0</v>
      </c>
      <c r="AM21" s="68" t="n">
        <v>0</v>
      </c>
      <c r="AN21" s="69" t="n">
        <v>0</v>
      </c>
      <c r="AO21" s="66" t="n">
        <v>1</v>
      </c>
      <c r="AP21" s="68" t="n">
        <v>2</v>
      </c>
      <c r="AQ21" s="68" t="n">
        <v>1</v>
      </c>
      <c r="AR21" s="68" t="n">
        <v>1</v>
      </c>
      <c r="AS21" s="68" t="n">
        <v>0</v>
      </c>
      <c r="AT21" s="69" t="n">
        <v>0</v>
      </c>
      <c r="AU21" s="66" t="n">
        <v>0</v>
      </c>
      <c r="AV21" s="69" t="n">
        <v>0</v>
      </c>
      <c r="AW21" s="118" t="n">
        <v>21</v>
      </c>
      <c r="AX21" s="65" t="s">
        <v>26</v>
      </c>
      <c r="AY21" s="87"/>
      <c r="AZ21" s="87"/>
      <c r="BA21" s="117" t="n">
        <f aca="false">SUM(A21:AV21)</f>
        <v>55</v>
      </c>
      <c r="BB21" s="74" t="n">
        <v>13</v>
      </c>
      <c r="BC21" s="122" t="s">
        <v>1062</v>
      </c>
      <c r="BD21" s="76" t="n">
        <v>0</v>
      </c>
      <c r="BE21" s="76" t="n">
        <f aca="false">_xlfn.RANK.EQ(BD21,$BD$9:$BD$48,0)</f>
        <v>1</v>
      </c>
      <c r="BH21" s="96"/>
      <c r="BI21" s="96"/>
      <c r="BJ21" s="96"/>
    </row>
    <row r="22" customFormat="false" ht="18" hidden="false" customHeight="true" outlineLevel="0" collapsed="false">
      <c r="A22" s="60" t="n">
        <v>0</v>
      </c>
      <c r="B22" s="62" t="n">
        <v>0</v>
      </c>
      <c r="C22" s="62" t="n">
        <v>11</v>
      </c>
      <c r="D22" s="62" t="n">
        <v>2</v>
      </c>
      <c r="E22" s="62" t="n">
        <v>0</v>
      </c>
      <c r="F22" s="62" t="n">
        <v>0</v>
      </c>
      <c r="G22" s="62" t="n">
        <v>0</v>
      </c>
      <c r="H22" s="62" t="n">
        <v>0</v>
      </c>
      <c r="I22" s="62" t="n">
        <v>0</v>
      </c>
      <c r="J22" s="62" t="n">
        <v>1</v>
      </c>
      <c r="K22" s="63" t="n">
        <v>0</v>
      </c>
      <c r="L22" s="60" t="n">
        <v>2</v>
      </c>
      <c r="M22" s="62" t="n">
        <v>1</v>
      </c>
      <c r="N22" s="62" t="n">
        <v>0</v>
      </c>
      <c r="O22" s="62" t="n">
        <v>0</v>
      </c>
      <c r="P22" s="62" t="n">
        <v>2</v>
      </c>
      <c r="Q22" s="62" t="n">
        <v>0</v>
      </c>
      <c r="R22" s="62" t="n">
        <v>1</v>
      </c>
      <c r="S22" s="62" t="n">
        <v>1</v>
      </c>
      <c r="T22" s="62" t="n">
        <v>0</v>
      </c>
      <c r="U22" s="62" t="n">
        <v>2</v>
      </c>
      <c r="V22" s="61" t="n">
        <v>0</v>
      </c>
      <c r="W22" s="63" t="n">
        <v>0</v>
      </c>
      <c r="X22" s="60" t="n">
        <v>1</v>
      </c>
      <c r="Y22" s="62" t="n">
        <v>0</v>
      </c>
      <c r="Z22" s="62" t="n">
        <v>0</v>
      </c>
      <c r="AA22" s="62" t="n">
        <v>0</v>
      </c>
      <c r="AB22" s="62" t="n">
        <v>0</v>
      </c>
      <c r="AC22" s="62" t="n">
        <v>0</v>
      </c>
      <c r="AD22" s="62" t="n">
        <v>1</v>
      </c>
      <c r="AE22" s="63" t="n">
        <v>1</v>
      </c>
      <c r="AF22" s="60" t="n">
        <v>2</v>
      </c>
      <c r="AG22" s="62" t="n">
        <v>1</v>
      </c>
      <c r="AH22" s="62" t="n">
        <v>1</v>
      </c>
      <c r="AI22" s="62" t="n">
        <v>2</v>
      </c>
      <c r="AJ22" s="62" t="n">
        <v>0</v>
      </c>
      <c r="AK22" s="62" t="n">
        <v>1</v>
      </c>
      <c r="AL22" s="62" t="n">
        <v>0</v>
      </c>
      <c r="AM22" s="62" t="n">
        <v>1</v>
      </c>
      <c r="AN22" s="63" t="n">
        <v>1</v>
      </c>
      <c r="AO22" s="60" t="n">
        <v>0</v>
      </c>
      <c r="AP22" s="62" t="n">
        <v>1</v>
      </c>
      <c r="AQ22" s="62" t="n">
        <v>1</v>
      </c>
      <c r="AR22" s="62" t="n">
        <v>3</v>
      </c>
      <c r="AS22" s="62" t="n">
        <v>0</v>
      </c>
      <c r="AT22" s="63" t="n">
        <v>1</v>
      </c>
      <c r="AU22" s="60" t="n">
        <v>0</v>
      </c>
      <c r="AV22" s="63" t="n">
        <v>0</v>
      </c>
      <c r="AW22" s="60" t="n">
        <v>22</v>
      </c>
      <c r="AX22" s="59" t="s">
        <v>27</v>
      </c>
      <c r="AY22" s="87"/>
      <c r="AZ22" s="87"/>
      <c r="BA22" s="117" t="n">
        <f aca="false">SUM(A22:AV22)</f>
        <v>41</v>
      </c>
      <c r="BB22" s="74" t="n">
        <v>14</v>
      </c>
      <c r="BC22" s="122" t="s">
        <v>1110</v>
      </c>
      <c r="BD22" s="76" t="n">
        <v>0</v>
      </c>
      <c r="BE22" s="76" t="n">
        <f aca="false">_xlfn.RANK.EQ(BD22,$BD$9:$BD$48,0)</f>
        <v>1</v>
      </c>
      <c r="BH22" s="96"/>
      <c r="BI22" s="96"/>
      <c r="BJ22" s="96"/>
    </row>
    <row r="23" customFormat="false" ht="18" hidden="false" customHeight="true" outlineLevel="0" collapsed="false">
      <c r="A23" s="84" t="n">
        <v>1</v>
      </c>
      <c r="B23" s="97" t="n">
        <v>1</v>
      </c>
      <c r="C23" s="85" t="n">
        <v>1</v>
      </c>
      <c r="D23" s="97" t="n">
        <v>1</v>
      </c>
      <c r="E23" s="97" t="n">
        <v>1</v>
      </c>
      <c r="F23" s="85" t="n">
        <v>1</v>
      </c>
      <c r="G23" s="85" t="n">
        <v>0</v>
      </c>
      <c r="H23" s="85" t="n">
        <v>0</v>
      </c>
      <c r="I23" s="85" t="n">
        <v>1</v>
      </c>
      <c r="J23" s="85" t="n">
        <v>10</v>
      </c>
      <c r="K23" s="86" t="n">
        <v>0</v>
      </c>
      <c r="L23" s="84" t="n">
        <v>0</v>
      </c>
      <c r="M23" s="85" t="n">
        <v>0</v>
      </c>
      <c r="N23" s="85" t="n">
        <v>0</v>
      </c>
      <c r="O23" s="85" t="n">
        <v>0</v>
      </c>
      <c r="P23" s="85" t="n">
        <v>1</v>
      </c>
      <c r="Q23" s="85" t="n">
        <v>0</v>
      </c>
      <c r="R23" s="85" t="n">
        <v>0</v>
      </c>
      <c r="S23" s="85" t="n">
        <v>1</v>
      </c>
      <c r="T23" s="85" t="n">
        <v>1</v>
      </c>
      <c r="U23" s="97" t="n">
        <v>0</v>
      </c>
      <c r="V23" s="85" t="n">
        <v>1</v>
      </c>
      <c r="W23" s="98" t="n">
        <v>0</v>
      </c>
      <c r="X23" s="84" t="n">
        <v>1</v>
      </c>
      <c r="Y23" s="85" t="n">
        <v>1</v>
      </c>
      <c r="Z23" s="85" t="n">
        <v>1</v>
      </c>
      <c r="AA23" s="85" t="n">
        <v>1</v>
      </c>
      <c r="AB23" s="85" t="n">
        <v>1</v>
      </c>
      <c r="AC23" s="85" t="n">
        <v>0</v>
      </c>
      <c r="AD23" s="85" t="n">
        <v>1</v>
      </c>
      <c r="AE23" s="86" t="n">
        <v>0</v>
      </c>
      <c r="AF23" s="84" t="n">
        <v>11</v>
      </c>
      <c r="AG23" s="85" t="n">
        <v>1</v>
      </c>
      <c r="AH23" s="85" t="n">
        <v>1</v>
      </c>
      <c r="AI23" s="85" t="n">
        <v>1</v>
      </c>
      <c r="AJ23" s="85" t="n">
        <v>2</v>
      </c>
      <c r="AK23" s="85" t="n">
        <v>0</v>
      </c>
      <c r="AL23" s="85" t="n">
        <v>1</v>
      </c>
      <c r="AM23" s="85" t="n">
        <v>0</v>
      </c>
      <c r="AN23" s="86" t="n">
        <v>2</v>
      </c>
      <c r="AO23" s="84" t="n">
        <v>0</v>
      </c>
      <c r="AP23" s="85" t="n">
        <v>0</v>
      </c>
      <c r="AQ23" s="85" t="n">
        <v>0</v>
      </c>
      <c r="AR23" s="85" t="n">
        <v>1</v>
      </c>
      <c r="AS23" s="85" t="n">
        <v>1</v>
      </c>
      <c r="AT23" s="86" t="n">
        <v>10</v>
      </c>
      <c r="AU23" s="84" t="n">
        <v>2</v>
      </c>
      <c r="AV23" s="86" t="n">
        <v>1</v>
      </c>
      <c r="AW23" s="84" t="n">
        <v>23</v>
      </c>
      <c r="AX23" s="79" t="s">
        <v>1111</v>
      </c>
      <c r="AY23" s="87"/>
      <c r="AZ23" s="87"/>
      <c r="BA23" s="117" t="n">
        <f aca="false">SUM(A23:AV23)</f>
        <v>61</v>
      </c>
      <c r="BB23" s="120" t="n">
        <v>15</v>
      </c>
      <c r="BC23" s="121" t="s">
        <v>1159</v>
      </c>
      <c r="BD23" s="76" t="n">
        <v>0</v>
      </c>
      <c r="BE23" s="76" t="n">
        <f aca="false">_xlfn.RANK.EQ(BD23,$BD$9:$BD$48,0)</f>
        <v>1</v>
      </c>
      <c r="BH23" s="96"/>
      <c r="BI23" s="99"/>
      <c r="BJ23" s="96"/>
    </row>
    <row r="24" customFormat="false" ht="18" hidden="false" customHeight="true" outlineLevel="0" collapsed="false">
      <c r="A24" s="88" t="n">
        <v>1</v>
      </c>
      <c r="B24" s="90" t="n">
        <v>1</v>
      </c>
      <c r="C24" s="90" t="n">
        <v>1</v>
      </c>
      <c r="D24" s="90" t="n">
        <v>0</v>
      </c>
      <c r="E24" s="90" t="n">
        <v>10</v>
      </c>
      <c r="F24" s="90" t="n">
        <v>0</v>
      </c>
      <c r="G24" s="90" t="n">
        <v>10</v>
      </c>
      <c r="H24" s="90" t="n">
        <v>1</v>
      </c>
      <c r="I24" s="90" t="n">
        <v>0</v>
      </c>
      <c r="J24" s="90" t="n">
        <v>1</v>
      </c>
      <c r="K24" s="91" t="n">
        <v>0</v>
      </c>
      <c r="L24" s="88" t="n">
        <v>1</v>
      </c>
      <c r="M24" s="90" t="n">
        <v>0</v>
      </c>
      <c r="N24" s="90" t="n">
        <v>1</v>
      </c>
      <c r="O24" s="90" t="n">
        <v>0</v>
      </c>
      <c r="P24" s="90" t="n">
        <v>1</v>
      </c>
      <c r="Q24" s="90" t="n">
        <v>1</v>
      </c>
      <c r="R24" s="90" t="n">
        <v>1</v>
      </c>
      <c r="S24" s="90" t="n">
        <v>2</v>
      </c>
      <c r="T24" s="90" t="n">
        <v>2</v>
      </c>
      <c r="U24" s="90" t="n">
        <v>1</v>
      </c>
      <c r="V24" s="90" t="n">
        <v>0</v>
      </c>
      <c r="W24" s="91" t="n">
        <v>0</v>
      </c>
      <c r="X24" s="53" t="n">
        <v>0</v>
      </c>
      <c r="Y24" s="90" t="n">
        <v>1</v>
      </c>
      <c r="Z24" s="90" t="n">
        <v>3</v>
      </c>
      <c r="AA24" s="90" t="n">
        <v>1</v>
      </c>
      <c r="AB24" s="90" t="n">
        <v>1</v>
      </c>
      <c r="AC24" s="90" t="n">
        <v>2</v>
      </c>
      <c r="AD24" s="90" t="n">
        <v>0</v>
      </c>
      <c r="AE24" s="91" t="n">
        <v>1</v>
      </c>
      <c r="AF24" s="88" t="n">
        <v>10</v>
      </c>
      <c r="AG24" s="90" t="n">
        <v>10</v>
      </c>
      <c r="AH24" s="90" t="n">
        <v>1</v>
      </c>
      <c r="AI24" s="90" t="n">
        <v>2</v>
      </c>
      <c r="AJ24" s="90" t="n">
        <v>1</v>
      </c>
      <c r="AK24" s="90" t="n">
        <v>1</v>
      </c>
      <c r="AL24" s="90" t="n">
        <v>0</v>
      </c>
      <c r="AM24" s="90" t="n">
        <v>0</v>
      </c>
      <c r="AN24" s="91" t="n">
        <v>1</v>
      </c>
      <c r="AO24" s="88" t="n">
        <v>1</v>
      </c>
      <c r="AP24" s="90" t="n">
        <v>1</v>
      </c>
      <c r="AQ24" s="90" t="n">
        <v>1</v>
      </c>
      <c r="AR24" s="90" t="n">
        <v>11</v>
      </c>
      <c r="AS24" s="90" t="n">
        <v>1</v>
      </c>
      <c r="AT24" s="91" t="n">
        <v>1</v>
      </c>
      <c r="AU24" s="88" t="n">
        <v>0</v>
      </c>
      <c r="AV24" s="91" t="n">
        <v>0</v>
      </c>
      <c r="AW24" s="88" t="n">
        <v>24</v>
      </c>
      <c r="AX24" s="89" t="s">
        <v>29</v>
      </c>
      <c r="AY24" s="100" t="s">
        <v>2</v>
      </c>
      <c r="AZ24" s="100"/>
      <c r="BA24" s="117" t="n">
        <f aca="false">SUM(A24:AV24)</f>
        <v>86</v>
      </c>
      <c r="BB24" s="74" t="n">
        <v>16</v>
      </c>
      <c r="BC24" s="122" t="s">
        <v>1207</v>
      </c>
      <c r="BD24" s="76" t="n">
        <v>0</v>
      </c>
      <c r="BE24" s="76" t="n">
        <f aca="false">_xlfn.RANK.EQ(BD24,$BD$9:$BD$48,0)</f>
        <v>1</v>
      </c>
      <c r="BH24" s="96"/>
      <c r="BI24" s="96"/>
      <c r="BJ24" s="96"/>
    </row>
    <row r="25" customFormat="false" ht="18" hidden="false" customHeight="true" outlineLevel="0" collapsed="false">
      <c r="A25" s="66" t="n">
        <v>0</v>
      </c>
      <c r="B25" s="68" t="n">
        <v>0</v>
      </c>
      <c r="C25" s="68" t="n">
        <v>1</v>
      </c>
      <c r="D25" s="68" t="n">
        <v>0</v>
      </c>
      <c r="E25" s="68" t="n">
        <v>1</v>
      </c>
      <c r="F25" s="68" t="n">
        <v>0</v>
      </c>
      <c r="G25" s="68" t="n">
        <v>2</v>
      </c>
      <c r="H25" s="68" t="n">
        <v>1</v>
      </c>
      <c r="I25" s="68" t="n">
        <v>0</v>
      </c>
      <c r="J25" s="68" t="n">
        <v>1</v>
      </c>
      <c r="K25" s="69" t="n">
        <v>1</v>
      </c>
      <c r="L25" s="66" t="n">
        <v>1</v>
      </c>
      <c r="M25" s="68" t="n">
        <v>1</v>
      </c>
      <c r="N25" s="68" t="n">
        <v>0</v>
      </c>
      <c r="O25" s="68" t="n">
        <v>1</v>
      </c>
      <c r="P25" s="68" t="n">
        <v>1</v>
      </c>
      <c r="Q25" s="68" t="n">
        <v>10</v>
      </c>
      <c r="R25" s="68" t="n">
        <v>0</v>
      </c>
      <c r="S25" s="68" t="n">
        <v>2</v>
      </c>
      <c r="T25" s="68" t="n">
        <v>0</v>
      </c>
      <c r="U25" s="68" t="n">
        <v>10</v>
      </c>
      <c r="V25" s="67" t="n">
        <v>0</v>
      </c>
      <c r="W25" s="92" t="n">
        <v>1</v>
      </c>
      <c r="X25" s="64" t="n">
        <v>2</v>
      </c>
      <c r="Y25" s="61" t="n">
        <v>0</v>
      </c>
      <c r="Z25" s="67" t="n">
        <v>1</v>
      </c>
      <c r="AA25" s="67" t="n">
        <v>0</v>
      </c>
      <c r="AB25" s="67" t="n">
        <v>1</v>
      </c>
      <c r="AC25" s="67" t="n">
        <v>0</v>
      </c>
      <c r="AD25" s="67" t="n">
        <v>0</v>
      </c>
      <c r="AE25" s="92" t="n">
        <v>3</v>
      </c>
      <c r="AF25" s="64" t="n">
        <v>3</v>
      </c>
      <c r="AG25" s="67" t="n">
        <v>1</v>
      </c>
      <c r="AH25" s="67" t="n">
        <v>2</v>
      </c>
      <c r="AI25" s="67" t="n">
        <v>1</v>
      </c>
      <c r="AJ25" s="67" t="n">
        <v>0</v>
      </c>
      <c r="AK25" s="67" t="n">
        <v>1</v>
      </c>
      <c r="AL25" s="67" t="n">
        <v>0</v>
      </c>
      <c r="AM25" s="67" t="n">
        <v>0</v>
      </c>
      <c r="AN25" s="92" t="n">
        <v>2</v>
      </c>
      <c r="AO25" s="64" t="n">
        <v>10</v>
      </c>
      <c r="AP25" s="67" t="n">
        <v>0</v>
      </c>
      <c r="AQ25" s="67" t="n">
        <v>0</v>
      </c>
      <c r="AR25" s="67" t="n">
        <v>0</v>
      </c>
      <c r="AS25" s="67" t="n">
        <v>0</v>
      </c>
      <c r="AT25" s="92" t="n">
        <v>0</v>
      </c>
      <c r="AU25" s="64" t="n">
        <v>0</v>
      </c>
      <c r="AV25" s="92" t="n">
        <v>0</v>
      </c>
      <c r="AW25" s="123" t="n">
        <v>25</v>
      </c>
      <c r="AX25" s="65" t="s">
        <v>30</v>
      </c>
      <c r="AY25" s="100"/>
      <c r="AZ25" s="100"/>
      <c r="BA25" s="117" t="n">
        <f aca="false">SUM(A25:AV25)</f>
        <v>61</v>
      </c>
      <c r="BB25" s="74" t="n">
        <v>17</v>
      </c>
      <c r="BC25" s="122" t="s">
        <v>1255</v>
      </c>
      <c r="BD25" s="76" t="n">
        <v>0</v>
      </c>
      <c r="BE25" s="76" t="n">
        <f aca="false">_xlfn.RANK.EQ(BD25,$BD$9:$BD$48,0)</f>
        <v>1</v>
      </c>
    </row>
    <row r="26" customFormat="false" ht="18" hidden="false" customHeight="true" outlineLevel="0" collapsed="false">
      <c r="A26" s="60" t="n">
        <v>0</v>
      </c>
      <c r="B26" s="62" t="n">
        <v>0</v>
      </c>
      <c r="C26" s="62" t="n">
        <v>1</v>
      </c>
      <c r="D26" s="62" t="n">
        <v>0</v>
      </c>
      <c r="E26" s="62" t="n">
        <v>1</v>
      </c>
      <c r="F26" s="62" t="n">
        <v>1</v>
      </c>
      <c r="G26" s="62" t="n">
        <v>0</v>
      </c>
      <c r="H26" s="62" t="n">
        <v>1</v>
      </c>
      <c r="I26" s="62" t="n">
        <v>0</v>
      </c>
      <c r="J26" s="62" t="n">
        <v>0</v>
      </c>
      <c r="K26" s="63" t="n">
        <v>0</v>
      </c>
      <c r="L26" s="60" t="n">
        <v>1</v>
      </c>
      <c r="M26" s="62" t="n">
        <v>0</v>
      </c>
      <c r="N26" s="62" t="n">
        <v>0</v>
      </c>
      <c r="O26" s="62" t="n">
        <v>0</v>
      </c>
      <c r="P26" s="62" t="n">
        <v>0</v>
      </c>
      <c r="Q26" s="62" t="n">
        <v>1</v>
      </c>
      <c r="R26" s="62" t="n">
        <v>2</v>
      </c>
      <c r="S26" s="62" t="n">
        <v>0</v>
      </c>
      <c r="T26" s="62" t="n">
        <v>0</v>
      </c>
      <c r="U26" s="62" t="n">
        <v>0</v>
      </c>
      <c r="V26" s="62" t="n">
        <v>0</v>
      </c>
      <c r="W26" s="63" t="n">
        <v>1</v>
      </c>
      <c r="X26" s="60" t="n">
        <v>0</v>
      </c>
      <c r="Y26" s="62" t="n">
        <v>1</v>
      </c>
      <c r="Z26" s="61" t="n">
        <v>0</v>
      </c>
      <c r="AA26" s="62" t="n">
        <v>1</v>
      </c>
      <c r="AB26" s="62" t="n">
        <v>0</v>
      </c>
      <c r="AC26" s="62" t="n">
        <v>0</v>
      </c>
      <c r="AD26" s="62" t="n">
        <v>10</v>
      </c>
      <c r="AE26" s="63" t="n">
        <v>0</v>
      </c>
      <c r="AF26" s="60" t="n">
        <v>0</v>
      </c>
      <c r="AG26" s="62" t="n">
        <v>1</v>
      </c>
      <c r="AH26" s="62" t="n">
        <v>1</v>
      </c>
      <c r="AI26" s="62" t="n">
        <v>0</v>
      </c>
      <c r="AJ26" s="62" t="n">
        <v>1</v>
      </c>
      <c r="AK26" s="62" t="n">
        <v>1</v>
      </c>
      <c r="AL26" s="62" t="n">
        <v>1</v>
      </c>
      <c r="AM26" s="62" t="n">
        <v>0</v>
      </c>
      <c r="AN26" s="63" t="n">
        <v>1</v>
      </c>
      <c r="AO26" s="60" t="n">
        <v>0</v>
      </c>
      <c r="AP26" s="62" t="n">
        <v>0</v>
      </c>
      <c r="AQ26" s="62" t="n">
        <v>1</v>
      </c>
      <c r="AR26" s="62" t="n">
        <v>0</v>
      </c>
      <c r="AS26" s="62" t="n">
        <v>1</v>
      </c>
      <c r="AT26" s="63" t="n">
        <v>0</v>
      </c>
      <c r="AU26" s="60" t="n">
        <v>0</v>
      </c>
      <c r="AV26" s="63" t="n">
        <v>0</v>
      </c>
      <c r="AW26" s="60" t="n">
        <v>26</v>
      </c>
      <c r="AX26" s="59" t="s">
        <v>31</v>
      </c>
      <c r="AY26" s="100"/>
      <c r="AZ26" s="100"/>
      <c r="BA26" s="117" t="n">
        <f aca="false">SUM(A26:AV26)</f>
        <v>29</v>
      </c>
      <c r="BB26" s="74" t="n">
        <v>18</v>
      </c>
      <c r="BC26" s="122" t="s">
        <v>1303</v>
      </c>
      <c r="BD26" s="76" t="n">
        <v>0</v>
      </c>
      <c r="BE26" s="76" t="n">
        <f aca="false">_xlfn.RANK.EQ(BD26,$BD$9:$BD$48,0)</f>
        <v>1</v>
      </c>
    </row>
    <row r="27" customFormat="false" ht="18" hidden="false" customHeight="true" outlineLevel="0" collapsed="false">
      <c r="A27" s="66" t="n">
        <v>1</v>
      </c>
      <c r="B27" s="68" t="n">
        <v>0</v>
      </c>
      <c r="C27" s="68" t="n">
        <v>0</v>
      </c>
      <c r="D27" s="68" t="n">
        <v>0</v>
      </c>
      <c r="E27" s="68" t="n">
        <v>11</v>
      </c>
      <c r="F27" s="68" t="n">
        <v>1</v>
      </c>
      <c r="G27" s="68" t="n">
        <v>0</v>
      </c>
      <c r="H27" s="68" t="n">
        <v>1</v>
      </c>
      <c r="I27" s="68" t="n">
        <v>0</v>
      </c>
      <c r="J27" s="68" t="n">
        <v>2</v>
      </c>
      <c r="K27" s="69" t="n">
        <v>1</v>
      </c>
      <c r="L27" s="66" t="n">
        <v>0</v>
      </c>
      <c r="M27" s="68" t="n">
        <v>0</v>
      </c>
      <c r="N27" s="68" t="n">
        <v>0</v>
      </c>
      <c r="O27" s="68" t="n">
        <v>0</v>
      </c>
      <c r="P27" s="68" t="n">
        <v>0</v>
      </c>
      <c r="Q27" s="68" t="n">
        <v>1</v>
      </c>
      <c r="R27" s="68" t="n">
        <v>0</v>
      </c>
      <c r="S27" s="68" t="n">
        <v>1</v>
      </c>
      <c r="T27" s="68" t="n">
        <v>0</v>
      </c>
      <c r="U27" s="68" t="n">
        <v>1</v>
      </c>
      <c r="V27" s="67" t="n">
        <v>1</v>
      </c>
      <c r="W27" s="92" t="n">
        <v>1</v>
      </c>
      <c r="X27" s="64" t="n">
        <v>11</v>
      </c>
      <c r="Y27" s="67" t="n">
        <v>0</v>
      </c>
      <c r="Z27" s="67" t="n">
        <v>1</v>
      </c>
      <c r="AA27" s="61" t="n">
        <v>0</v>
      </c>
      <c r="AB27" s="67" t="n">
        <v>1</v>
      </c>
      <c r="AC27" s="67" t="n">
        <v>0</v>
      </c>
      <c r="AD27" s="67" t="n">
        <v>1</v>
      </c>
      <c r="AE27" s="92" t="n">
        <v>0</v>
      </c>
      <c r="AF27" s="64" t="n">
        <v>10</v>
      </c>
      <c r="AG27" s="67" t="n">
        <v>1</v>
      </c>
      <c r="AH27" s="67" t="n">
        <v>1</v>
      </c>
      <c r="AI27" s="67" t="n">
        <v>0</v>
      </c>
      <c r="AJ27" s="67" t="n">
        <v>10</v>
      </c>
      <c r="AK27" s="67" t="n">
        <v>1</v>
      </c>
      <c r="AL27" s="67" t="n">
        <v>1</v>
      </c>
      <c r="AM27" s="67" t="n">
        <v>0</v>
      </c>
      <c r="AN27" s="92" t="n">
        <v>1</v>
      </c>
      <c r="AO27" s="64" t="n">
        <v>1</v>
      </c>
      <c r="AP27" s="67" t="n">
        <v>0</v>
      </c>
      <c r="AQ27" s="67" t="n">
        <v>2</v>
      </c>
      <c r="AR27" s="67" t="n">
        <v>0</v>
      </c>
      <c r="AS27" s="67" t="n">
        <v>0</v>
      </c>
      <c r="AT27" s="92" t="n">
        <v>1</v>
      </c>
      <c r="AU27" s="64" t="n">
        <v>11</v>
      </c>
      <c r="AV27" s="92" t="n">
        <v>0</v>
      </c>
      <c r="AW27" s="123" t="n">
        <v>27</v>
      </c>
      <c r="AX27" s="65" t="s">
        <v>32</v>
      </c>
      <c r="AY27" s="100"/>
      <c r="AZ27" s="100"/>
      <c r="BA27" s="117" t="n">
        <f aca="false">SUM(A27:AV27)</f>
        <v>76</v>
      </c>
      <c r="BB27" s="74" t="n">
        <v>19</v>
      </c>
      <c r="BC27" s="122" t="s">
        <v>1351</v>
      </c>
      <c r="BD27" s="76" t="n">
        <v>0</v>
      </c>
      <c r="BE27" s="76" t="n">
        <f aca="false">_xlfn.RANK.EQ(BD27,$BD$9:$BD$48,0)</f>
        <v>1</v>
      </c>
    </row>
    <row r="28" customFormat="false" ht="18" hidden="false" customHeight="true" outlineLevel="0" collapsed="false">
      <c r="A28" s="60" t="n">
        <v>0</v>
      </c>
      <c r="B28" s="62" t="n">
        <v>0</v>
      </c>
      <c r="C28" s="62" t="n">
        <v>1</v>
      </c>
      <c r="D28" s="62" t="n">
        <v>0</v>
      </c>
      <c r="E28" s="62" t="n">
        <v>1</v>
      </c>
      <c r="F28" s="62" t="n">
        <v>0</v>
      </c>
      <c r="G28" s="62" t="n">
        <v>1</v>
      </c>
      <c r="H28" s="62" t="n">
        <v>1</v>
      </c>
      <c r="I28" s="62" t="n">
        <v>0</v>
      </c>
      <c r="J28" s="62" t="n">
        <v>0</v>
      </c>
      <c r="K28" s="63" t="n">
        <v>0</v>
      </c>
      <c r="L28" s="60" t="n">
        <v>0</v>
      </c>
      <c r="M28" s="62" t="n">
        <v>0</v>
      </c>
      <c r="N28" s="62" t="n">
        <v>10</v>
      </c>
      <c r="O28" s="62" t="n">
        <v>1</v>
      </c>
      <c r="P28" s="62" t="n">
        <v>10</v>
      </c>
      <c r="Q28" s="62" t="n">
        <v>1</v>
      </c>
      <c r="R28" s="62" t="n">
        <v>0</v>
      </c>
      <c r="S28" s="62" t="n">
        <v>0</v>
      </c>
      <c r="T28" s="62" t="n">
        <v>0</v>
      </c>
      <c r="U28" s="62" t="n">
        <v>0</v>
      </c>
      <c r="V28" s="62" t="n">
        <v>1</v>
      </c>
      <c r="W28" s="63" t="n">
        <v>0</v>
      </c>
      <c r="X28" s="60" t="n">
        <v>1</v>
      </c>
      <c r="Y28" s="62" t="n">
        <v>0</v>
      </c>
      <c r="Z28" s="62" t="n">
        <v>0</v>
      </c>
      <c r="AA28" s="62" t="n">
        <v>0</v>
      </c>
      <c r="AB28" s="61" t="n">
        <v>0</v>
      </c>
      <c r="AC28" s="62" t="n">
        <v>0</v>
      </c>
      <c r="AD28" s="62" t="n">
        <v>1</v>
      </c>
      <c r="AE28" s="63" t="n">
        <v>0</v>
      </c>
      <c r="AF28" s="60" t="n">
        <v>0</v>
      </c>
      <c r="AG28" s="62" t="n">
        <v>1</v>
      </c>
      <c r="AH28" s="62" t="n">
        <v>1</v>
      </c>
      <c r="AI28" s="62" t="n">
        <v>0</v>
      </c>
      <c r="AJ28" s="62" t="n">
        <v>0</v>
      </c>
      <c r="AK28" s="62" t="n">
        <v>1</v>
      </c>
      <c r="AL28" s="62" t="n">
        <v>0</v>
      </c>
      <c r="AM28" s="62" t="n">
        <v>0</v>
      </c>
      <c r="AN28" s="63" t="n">
        <v>0</v>
      </c>
      <c r="AO28" s="60" t="n">
        <v>0</v>
      </c>
      <c r="AP28" s="62" t="n">
        <v>1</v>
      </c>
      <c r="AQ28" s="62" t="n">
        <v>0</v>
      </c>
      <c r="AR28" s="62" t="n">
        <v>1</v>
      </c>
      <c r="AS28" s="62" t="n">
        <v>0</v>
      </c>
      <c r="AT28" s="63" t="n">
        <v>0</v>
      </c>
      <c r="AU28" s="60" t="n">
        <v>1</v>
      </c>
      <c r="AV28" s="63" t="n">
        <v>0</v>
      </c>
      <c r="AW28" s="60" t="n">
        <v>28</v>
      </c>
      <c r="AX28" s="59" t="s">
        <v>1352</v>
      </c>
      <c r="AY28" s="100"/>
      <c r="AZ28" s="100"/>
      <c r="BA28" s="117" t="n">
        <f aca="false">SUM(A28:AV28)</f>
        <v>35</v>
      </c>
      <c r="BB28" s="74" t="n">
        <v>20</v>
      </c>
      <c r="BC28" s="122" t="s">
        <v>1400</v>
      </c>
      <c r="BD28" s="76" t="n">
        <v>0</v>
      </c>
      <c r="BE28" s="76" t="n">
        <f aca="false">_xlfn.RANK.EQ(BD28,$BD$9:$BD$48,0)</f>
        <v>1</v>
      </c>
    </row>
    <row r="29" customFormat="false" ht="18" hidden="false" customHeight="true" outlineLevel="0" collapsed="false">
      <c r="A29" s="66" t="n">
        <v>0</v>
      </c>
      <c r="B29" s="68" t="n">
        <v>0</v>
      </c>
      <c r="C29" s="68" t="n">
        <v>1</v>
      </c>
      <c r="D29" s="68" t="n">
        <v>1</v>
      </c>
      <c r="E29" s="68" t="n">
        <v>1</v>
      </c>
      <c r="F29" s="68" t="n">
        <v>1</v>
      </c>
      <c r="G29" s="68" t="n">
        <v>1</v>
      </c>
      <c r="H29" s="68" t="n">
        <v>1</v>
      </c>
      <c r="I29" s="68" t="n">
        <v>0</v>
      </c>
      <c r="J29" s="68" t="n">
        <v>2</v>
      </c>
      <c r="K29" s="69" t="n">
        <v>0</v>
      </c>
      <c r="L29" s="66" t="n">
        <v>1</v>
      </c>
      <c r="M29" s="68" t="n">
        <v>1</v>
      </c>
      <c r="N29" s="68" t="n">
        <v>1</v>
      </c>
      <c r="O29" s="68" t="n">
        <v>1</v>
      </c>
      <c r="P29" s="68" t="n">
        <v>0</v>
      </c>
      <c r="Q29" s="68" t="n">
        <v>0</v>
      </c>
      <c r="R29" s="68" t="n">
        <v>0</v>
      </c>
      <c r="S29" s="68" t="n">
        <v>0</v>
      </c>
      <c r="T29" s="68" t="n">
        <v>0</v>
      </c>
      <c r="U29" s="68" t="n">
        <v>1</v>
      </c>
      <c r="V29" s="67" t="n">
        <v>1</v>
      </c>
      <c r="W29" s="92" t="n">
        <v>0</v>
      </c>
      <c r="X29" s="64" t="n">
        <v>1</v>
      </c>
      <c r="Y29" s="67" t="n">
        <v>0</v>
      </c>
      <c r="Z29" s="67" t="n">
        <v>1</v>
      </c>
      <c r="AA29" s="67" t="n">
        <v>1</v>
      </c>
      <c r="AB29" s="67" t="n">
        <v>0</v>
      </c>
      <c r="AC29" s="61" t="n">
        <v>0</v>
      </c>
      <c r="AD29" s="67" t="n">
        <v>1</v>
      </c>
      <c r="AE29" s="92" t="n">
        <v>0</v>
      </c>
      <c r="AF29" s="64" t="n">
        <v>2</v>
      </c>
      <c r="AG29" s="67" t="n">
        <v>0</v>
      </c>
      <c r="AH29" s="67" t="n">
        <v>1</v>
      </c>
      <c r="AI29" s="67" t="n">
        <v>0</v>
      </c>
      <c r="AJ29" s="67" t="n">
        <v>0</v>
      </c>
      <c r="AK29" s="67" t="n">
        <v>1</v>
      </c>
      <c r="AL29" s="67" t="n">
        <v>0</v>
      </c>
      <c r="AM29" s="67" t="n">
        <v>0</v>
      </c>
      <c r="AN29" s="92" t="n">
        <v>0</v>
      </c>
      <c r="AO29" s="64" t="n">
        <v>0</v>
      </c>
      <c r="AP29" s="67" t="n">
        <v>11</v>
      </c>
      <c r="AQ29" s="67" t="n">
        <v>11</v>
      </c>
      <c r="AR29" s="67" t="n">
        <v>1</v>
      </c>
      <c r="AS29" s="67" t="n">
        <v>2</v>
      </c>
      <c r="AT29" s="92" t="n">
        <v>1</v>
      </c>
      <c r="AU29" s="64" t="n">
        <v>0</v>
      </c>
      <c r="AV29" s="92" t="n">
        <v>0</v>
      </c>
      <c r="AW29" s="123" t="n">
        <v>29</v>
      </c>
      <c r="AX29" s="65" t="s">
        <v>1401</v>
      </c>
      <c r="AY29" s="100"/>
      <c r="AZ29" s="100"/>
      <c r="BA29" s="117" t="n">
        <f aca="false">SUM(A29:AV29)</f>
        <v>48</v>
      </c>
      <c r="BB29" s="74" t="n">
        <v>21</v>
      </c>
      <c r="BC29" s="122" t="s">
        <v>1449</v>
      </c>
      <c r="BD29" s="76" t="n">
        <v>0</v>
      </c>
      <c r="BE29" s="76" t="n">
        <f aca="false">_xlfn.RANK.EQ(BD29,$BD$9:$BD$48,0)</f>
        <v>1</v>
      </c>
    </row>
    <row r="30" customFormat="false" ht="18" hidden="false" customHeight="true" outlineLevel="0" collapsed="false">
      <c r="A30" s="60" t="n">
        <v>0</v>
      </c>
      <c r="B30" s="62" t="n">
        <v>0</v>
      </c>
      <c r="C30" s="62" t="n">
        <v>1</v>
      </c>
      <c r="D30" s="62" t="n">
        <v>1</v>
      </c>
      <c r="E30" s="62" t="n">
        <v>1</v>
      </c>
      <c r="F30" s="62" t="n">
        <v>0</v>
      </c>
      <c r="G30" s="62" t="n">
        <v>2</v>
      </c>
      <c r="H30" s="62" t="n">
        <v>1</v>
      </c>
      <c r="I30" s="62" t="n">
        <v>1</v>
      </c>
      <c r="J30" s="62" t="n">
        <v>0</v>
      </c>
      <c r="K30" s="63" t="n">
        <v>1</v>
      </c>
      <c r="L30" s="60" t="n">
        <v>11</v>
      </c>
      <c r="M30" s="62" t="n">
        <v>11</v>
      </c>
      <c r="N30" s="62" t="n">
        <v>0</v>
      </c>
      <c r="O30" s="62" t="n">
        <v>1</v>
      </c>
      <c r="P30" s="62" t="n">
        <v>0</v>
      </c>
      <c r="Q30" s="62" t="n">
        <v>0</v>
      </c>
      <c r="R30" s="62" t="n">
        <v>0</v>
      </c>
      <c r="S30" s="62" t="n">
        <v>2</v>
      </c>
      <c r="T30" s="62" t="n">
        <v>1</v>
      </c>
      <c r="U30" s="62" t="n">
        <v>11</v>
      </c>
      <c r="V30" s="62" t="n">
        <v>1</v>
      </c>
      <c r="W30" s="63" t="n">
        <v>0</v>
      </c>
      <c r="X30" s="60" t="n">
        <v>2</v>
      </c>
      <c r="Y30" s="62" t="n">
        <v>2</v>
      </c>
      <c r="Z30" s="62" t="n">
        <v>0</v>
      </c>
      <c r="AA30" s="62" t="n">
        <v>1</v>
      </c>
      <c r="AB30" s="62" t="n">
        <v>0</v>
      </c>
      <c r="AC30" s="62" t="n">
        <v>0</v>
      </c>
      <c r="AD30" s="61" t="n">
        <v>0</v>
      </c>
      <c r="AE30" s="63" t="n">
        <v>2</v>
      </c>
      <c r="AF30" s="60" t="n">
        <v>2</v>
      </c>
      <c r="AG30" s="62" t="n">
        <v>0</v>
      </c>
      <c r="AH30" s="62" t="n">
        <v>1</v>
      </c>
      <c r="AI30" s="62" t="n">
        <v>0</v>
      </c>
      <c r="AJ30" s="62" t="n">
        <v>1</v>
      </c>
      <c r="AK30" s="62" t="n">
        <v>1</v>
      </c>
      <c r="AL30" s="62" t="n">
        <v>10</v>
      </c>
      <c r="AM30" s="62" t="n">
        <v>0</v>
      </c>
      <c r="AN30" s="63" t="n">
        <v>1</v>
      </c>
      <c r="AO30" s="60" t="n">
        <v>0</v>
      </c>
      <c r="AP30" s="62" t="n">
        <v>2</v>
      </c>
      <c r="AQ30" s="62" t="n">
        <v>0</v>
      </c>
      <c r="AR30" s="62" t="n">
        <v>1</v>
      </c>
      <c r="AS30" s="62" t="n">
        <v>0</v>
      </c>
      <c r="AT30" s="63" t="n">
        <v>1</v>
      </c>
      <c r="AU30" s="60" t="n">
        <v>0</v>
      </c>
      <c r="AV30" s="63" t="n">
        <v>0</v>
      </c>
      <c r="AW30" s="60" t="n">
        <v>30</v>
      </c>
      <c r="AX30" s="59" t="s">
        <v>35</v>
      </c>
      <c r="AY30" s="100"/>
      <c r="AZ30" s="100"/>
      <c r="BA30" s="117" t="n">
        <f aca="false">SUM(A30:AV30)</f>
        <v>73</v>
      </c>
      <c r="BB30" s="74" t="n">
        <v>22</v>
      </c>
      <c r="BC30" s="122" t="s">
        <v>1497</v>
      </c>
      <c r="BD30" s="76" t="n">
        <v>0</v>
      </c>
      <c r="BE30" s="76" t="n">
        <f aca="false">_xlfn.RANK.EQ(BD30,$BD$9:$BD$48,0)</f>
        <v>1</v>
      </c>
    </row>
    <row r="31" customFormat="false" ht="18" hidden="false" customHeight="true" outlineLevel="0" collapsed="false">
      <c r="A31" s="84" t="n">
        <v>1</v>
      </c>
      <c r="B31" s="85" t="n">
        <v>1</v>
      </c>
      <c r="C31" s="85" t="n">
        <v>11</v>
      </c>
      <c r="D31" s="85" t="n">
        <v>0</v>
      </c>
      <c r="E31" s="85" t="n">
        <v>1</v>
      </c>
      <c r="F31" s="85" t="n">
        <v>1</v>
      </c>
      <c r="G31" s="85" t="n">
        <v>1</v>
      </c>
      <c r="H31" s="85" t="n">
        <v>0</v>
      </c>
      <c r="I31" s="85" t="n">
        <v>10</v>
      </c>
      <c r="J31" s="85" t="n">
        <v>10</v>
      </c>
      <c r="K31" s="86" t="n">
        <v>0</v>
      </c>
      <c r="L31" s="84" t="n">
        <v>11</v>
      </c>
      <c r="M31" s="85" t="n">
        <v>0</v>
      </c>
      <c r="N31" s="85" t="n">
        <v>1</v>
      </c>
      <c r="O31" s="85" t="n">
        <v>2</v>
      </c>
      <c r="P31" s="85" t="n">
        <v>1</v>
      </c>
      <c r="Q31" s="85" t="n">
        <v>0</v>
      </c>
      <c r="R31" s="85" t="n">
        <v>0</v>
      </c>
      <c r="S31" s="85" t="n">
        <v>10</v>
      </c>
      <c r="T31" s="85" t="n">
        <v>1</v>
      </c>
      <c r="U31" s="85" t="n">
        <v>0</v>
      </c>
      <c r="V31" s="97" t="n">
        <v>1</v>
      </c>
      <c r="W31" s="103" t="n">
        <v>1</v>
      </c>
      <c r="X31" s="78" t="n">
        <v>1</v>
      </c>
      <c r="Y31" s="97" t="n">
        <v>3</v>
      </c>
      <c r="Z31" s="97" t="n">
        <v>1</v>
      </c>
      <c r="AA31" s="97" t="n">
        <v>1</v>
      </c>
      <c r="AB31" s="97" t="n">
        <v>0</v>
      </c>
      <c r="AC31" s="97" t="n">
        <v>2</v>
      </c>
      <c r="AD31" s="97" t="n">
        <v>12</v>
      </c>
      <c r="AE31" s="98" t="n">
        <v>0</v>
      </c>
      <c r="AF31" s="78" t="n">
        <v>11</v>
      </c>
      <c r="AG31" s="97" t="n">
        <v>1</v>
      </c>
      <c r="AH31" s="97" t="n">
        <v>1</v>
      </c>
      <c r="AI31" s="97" t="n">
        <v>1</v>
      </c>
      <c r="AJ31" s="97" t="n">
        <v>11</v>
      </c>
      <c r="AK31" s="97" t="n">
        <v>2</v>
      </c>
      <c r="AL31" s="97" t="n">
        <v>0</v>
      </c>
      <c r="AM31" s="97" t="n">
        <v>0</v>
      </c>
      <c r="AN31" s="103" t="n">
        <v>2</v>
      </c>
      <c r="AO31" s="78" t="n">
        <v>1</v>
      </c>
      <c r="AP31" s="97" t="n">
        <v>1</v>
      </c>
      <c r="AQ31" s="97" t="n">
        <v>0</v>
      </c>
      <c r="AR31" s="97" t="n">
        <v>0</v>
      </c>
      <c r="AS31" s="97" t="n">
        <v>1</v>
      </c>
      <c r="AT31" s="103" t="n">
        <v>1</v>
      </c>
      <c r="AU31" s="78" t="n">
        <v>10</v>
      </c>
      <c r="AV31" s="103" t="n">
        <v>0</v>
      </c>
      <c r="AW31" s="124" t="n">
        <v>31</v>
      </c>
      <c r="AX31" s="79" t="s">
        <v>1498</v>
      </c>
      <c r="AY31" s="100"/>
      <c r="AZ31" s="100"/>
      <c r="BA31" s="117" t="n">
        <f aca="false">SUM(A31:AV31)</f>
        <v>127</v>
      </c>
      <c r="BB31" s="74" t="n">
        <v>23</v>
      </c>
      <c r="BC31" s="122" t="s">
        <v>1546</v>
      </c>
      <c r="BD31" s="76" t="n">
        <v>0</v>
      </c>
      <c r="BE31" s="76" t="n">
        <f aca="false">_xlfn.RANK.EQ(BD31,$BD$9:$BD$48,0)</f>
        <v>1</v>
      </c>
    </row>
    <row r="32" customFormat="false" ht="18" hidden="false" customHeight="true" outlineLevel="0" collapsed="false">
      <c r="A32" s="88" t="n">
        <v>1</v>
      </c>
      <c r="B32" s="90" t="n">
        <v>2</v>
      </c>
      <c r="C32" s="90" t="n">
        <v>1</v>
      </c>
      <c r="D32" s="90" t="n">
        <v>1</v>
      </c>
      <c r="E32" s="90" t="n">
        <v>0</v>
      </c>
      <c r="F32" s="90" t="n">
        <v>1</v>
      </c>
      <c r="G32" s="90" t="n">
        <v>0</v>
      </c>
      <c r="H32" s="90" t="n">
        <v>2</v>
      </c>
      <c r="I32" s="90" t="n">
        <v>10</v>
      </c>
      <c r="J32" s="90" t="n">
        <v>1</v>
      </c>
      <c r="K32" s="91" t="n">
        <v>1</v>
      </c>
      <c r="L32" s="88" t="n">
        <v>2</v>
      </c>
      <c r="M32" s="90" t="n">
        <v>10</v>
      </c>
      <c r="N32" s="90" t="n">
        <v>2</v>
      </c>
      <c r="O32" s="90" t="n">
        <v>1</v>
      </c>
      <c r="P32" s="90" t="n">
        <v>3</v>
      </c>
      <c r="Q32" s="90" t="n">
        <v>2</v>
      </c>
      <c r="R32" s="90" t="n">
        <v>2</v>
      </c>
      <c r="S32" s="90" t="n">
        <v>11</v>
      </c>
      <c r="T32" s="90" t="n">
        <v>0</v>
      </c>
      <c r="U32" s="90" t="n">
        <v>0</v>
      </c>
      <c r="V32" s="90" t="n">
        <v>1</v>
      </c>
      <c r="W32" s="91" t="n">
        <v>10</v>
      </c>
      <c r="X32" s="88" t="n">
        <v>0</v>
      </c>
      <c r="Y32" s="90" t="n">
        <v>1</v>
      </c>
      <c r="Z32" s="90" t="n">
        <v>1</v>
      </c>
      <c r="AA32" s="90" t="n">
        <v>11</v>
      </c>
      <c r="AB32" s="90" t="n">
        <v>0</v>
      </c>
      <c r="AC32" s="90" t="n">
        <v>0</v>
      </c>
      <c r="AD32" s="90" t="n">
        <v>10</v>
      </c>
      <c r="AE32" s="91" t="n">
        <v>1</v>
      </c>
      <c r="AF32" s="53" t="n">
        <v>0</v>
      </c>
      <c r="AG32" s="90" t="n">
        <v>10</v>
      </c>
      <c r="AH32" s="90" t="n">
        <v>10</v>
      </c>
      <c r="AI32" s="90" t="n">
        <v>0</v>
      </c>
      <c r="AJ32" s="90" t="n">
        <v>10</v>
      </c>
      <c r="AK32" s="90" t="n">
        <v>1</v>
      </c>
      <c r="AL32" s="90" t="n">
        <v>1</v>
      </c>
      <c r="AM32" s="90" t="n">
        <v>0</v>
      </c>
      <c r="AN32" s="91" t="n">
        <v>0</v>
      </c>
      <c r="AO32" s="88" t="n">
        <v>1</v>
      </c>
      <c r="AP32" s="90" t="n">
        <v>0</v>
      </c>
      <c r="AQ32" s="90" t="n">
        <v>1</v>
      </c>
      <c r="AR32" s="90" t="n">
        <v>11</v>
      </c>
      <c r="AS32" s="90" t="n">
        <v>0</v>
      </c>
      <c r="AT32" s="91" t="n">
        <v>1</v>
      </c>
      <c r="AU32" s="88" t="n">
        <v>0</v>
      </c>
      <c r="AV32" s="91" t="n">
        <v>11</v>
      </c>
      <c r="AW32" s="88" t="n">
        <v>32</v>
      </c>
      <c r="AX32" s="89" t="s">
        <v>37</v>
      </c>
      <c r="AY32" s="104" t="s">
        <v>3</v>
      </c>
      <c r="AZ32" s="104"/>
      <c r="BA32" s="117" t="n">
        <f aca="false">SUM(A32:AV32)</f>
        <v>145</v>
      </c>
      <c r="BB32" s="74" t="n">
        <v>24</v>
      </c>
      <c r="BC32" s="122" t="s">
        <v>1594</v>
      </c>
      <c r="BD32" s="76" t="n">
        <v>0</v>
      </c>
      <c r="BE32" s="76" t="n">
        <f aca="false">_xlfn.RANK.EQ(BD32,$BD$9:$BD$48,0)</f>
        <v>1</v>
      </c>
    </row>
    <row r="33" customFormat="false" ht="18" hidden="false" customHeight="true" outlineLevel="0" collapsed="false">
      <c r="A33" s="66" t="n">
        <v>11</v>
      </c>
      <c r="B33" s="68" t="n">
        <v>11</v>
      </c>
      <c r="C33" s="68" t="n">
        <v>1</v>
      </c>
      <c r="D33" s="68" t="n">
        <v>0</v>
      </c>
      <c r="E33" s="68" t="n">
        <v>1</v>
      </c>
      <c r="F33" s="68" t="n">
        <v>1</v>
      </c>
      <c r="G33" s="68" t="n">
        <v>1</v>
      </c>
      <c r="H33" s="68" t="n">
        <v>1</v>
      </c>
      <c r="I33" s="68" t="n">
        <v>0</v>
      </c>
      <c r="J33" s="68" t="n">
        <v>0</v>
      </c>
      <c r="K33" s="69" t="n">
        <v>0</v>
      </c>
      <c r="L33" s="66" t="n">
        <v>0</v>
      </c>
      <c r="M33" s="68" t="n">
        <v>0</v>
      </c>
      <c r="N33" s="68" t="n">
        <v>10</v>
      </c>
      <c r="O33" s="68" t="n">
        <v>2</v>
      </c>
      <c r="P33" s="68" t="n">
        <v>1</v>
      </c>
      <c r="Q33" s="68" t="n">
        <v>0</v>
      </c>
      <c r="R33" s="68" t="n">
        <v>1</v>
      </c>
      <c r="S33" s="68" t="n">
        <v>1</v>
      </c>
      <c r="T33" s="68" t="n">
        <v>0</v>
      </c>
      <c r="U33" s="68" t="n">
        <v>0</v>
      </c>
      <c r="V33" s="67" t="n">
        <v>0</v>
      </c>
      <c r="W33" s="92" t="n">
        <v>0</v>
      </c>
      <c r="X33" s="64" t="n">
        <v>11</v>
      </c>
      <c r="Y33" s="67" t="n">
        <v>1</v>
      </c>
      <c r="Z33" s="67" t="n">
        <v>0</v>
      </c>
      <c r="AA33" s="67" t="n">
        <v>1</v>
      </c>
      <c r="AB33" s="67" t="n">
        <v>0</v>
      </c>
      <c r="AC33" s="67" t="n">
        <v>0</v>
      </c>
      <c r="AD33" s="67" t="n">
        <v>2</v>
      </c>
      <c r="AE33" s="92" t="n">
        <v>0</v>
      </c>
      <c r="AF33" s="64" t="n">
        <v>1</v>
      </c>
      <c r="AG33" s="61" t="n">
        <v>0</v>
      </c>
      <c r="AH33" s="67" t="n">
        <v>0</v>
      </c>
      <c r="AI33" s="67" t="n">
        <v>1</v>
      </c>
      <c r="AJ33" s="67" t="n">
        <v>0</v>
      </c>
      <c r="AK33" s="67" t="n">
        <v>2</v>
      </c>
      <c r="AL33" s="67" t="n">
        <v>0</v>
      </c>
      <c r="AM33" s="67" t="n">
        <v>0</v>
      </c>
      <c r="AN33" s="92" t="n">
        <v>11</v>
      </c>
      <c r="AO33" s="64" t="n">
        <v>0</v>
      </c>
      <c r="AP33" s="67" t="n">
        <v>0</v>
      </c>
      <c r="AQ33" s="67" t="n">
        <v>0</v>
      </c>
      <c r="AR33" s="67" t="n">
        <v>0</v>
      </c>
      <c r="AS33" s="67" t="n">
        <v>1</v>
      </c>
      <c r="AT33" s="92" t="n">
        <v>0</v>
      </c>
      <c r="AU33" s="64" t="n">
        <v>0</v>
      </c>
      <c r="AV33" s="92" t="n">
        <v>1</v>
      </c>
      <c r="AW33" s="123" t="n">
        <v>33</v>
      </c>
      <c r="AX33" s="65" t="s">
        <v>38</v>
      </c>
      <c r="AY33" s="104"/>
      <c r="AZ33" s="104"/>
      <c r="BA33" s="117" t="n">
        <f aca="false">SUM(A33:AV33)</f>
        <v>74</v>
      </c>
      <c r="BB33" s="74" t="n">
        <v>25</v>
      </c>
      <c r="BC33" s="122" t="s">
        <v>1642</v>
      </c>
      <c r="BD33" s="76" t="n">
        <v>0</v>
      </c>
      <c r="BE33" s="76" t="n">
        <f aca="false">_xlfn.RANK.EQ(BD33,$BD$9:$BD$48,0)</f>
        <v>1</v>
      </c>
    </row>
    <row r="34" customFormat="false" ht="18" hidden="false" customHeight="true" outlineLevel="0" collapsed="false">
      <c r="A34" s="60" t="n">
        <v>1</v>
      </c>
      <c r="B34" s="62" t="n">
        <v>1</v>
      </c>
      <c r="C34" s="62" t="n">
        <v>3</v>
      </c>
      <c r="D34" s="62" t="n">
        <v>1</v>
      </c>
      <c r="E34" s="62" t="n">
        <v>1</v>
      </c>
      <c r="F34" s="62" t="n">
        <v>2</v>
      </c>
      <c r="G34" s="62" t="n">
        <v>11</v>
      </c>
      <c r="H34" s="62" t="n">
        <v>0</v>
      </c>
      <c r="I34" s="62" t="n">
        <v>0</v>
      </c>
      <c r="J34" s="62" t="n">
        <v>2</v>
      </c>
      <c r="K34" s="63" t="n">
        <v>10</v>
      </c>
      <c r="L34" s="60" t="n">
        <v>1</v>
      </c>
      <c r="M34" s="62" t="n">
        <v>11</v>
      </c>
      <c r="N34" s="62" t="n">
        <v>0</v>
      </c>
      <c r="O34" s="62" t="n">
        <v>0</v>
      </c>
      <c r="P34" s="62" t="n">
        <v>2</v>
      </c>
      <c r="Q34" s="62" t="n">
        <v>3</v>
      </c>
      <c r="R34" s="62" t="n">
        <v>1</v>
      </c>
      <c r="S34" s="62" t="n">
        <v>10</v>
      </c>
      <c r="T34" s="62" t="n">
        <v>2</v>
      </c>
      <c r="U34" s="62" t="n">
        <v>1</v>
      </c>
      <c r="V34" s="62" t="n">
        <v>0</v>
      </c>
      <c r="W34" s="63" t="n">
        <v>1</v>
      </c>
      <c r="X34" s="60" t="n">
        <v>0</v>
      </c>
      <c r="Y34" s="62" t="n">
        <v>1</v>
      </c>
      <c r="Z34" s="62" t="n">
        <v>0</v>
      </c>
      <c r="AA34" s="62" t="n">
        <v>0</v>
      </c>
      <c r="AB34" s="62" t="n">
        <v>1</v>
      </c>
      <c r="AC34" s="62" t="n">
        <v>0</v>
      </c>
      <c r="AD34" s="62" t="n">
        <v>1</v>
      </c>
      <c r="AE34" s="63" t="n">
        <v>1</v>
      </c>
      <c r="AF34" s="60" t="n">
        <v>1</v>
      </c>
      <c r="AG34" s="62" t="n">
        <v>1</v>
      </c>
      <c r="AH34" s="61" t="n">
        <v>0</v>
      </c>
      <c r="AI34" s="62" t="n">
        <v>1</v>
      </c>
      <c r="AJ34" s="62" t="n">
        <v>10</v>
      </c>
      <c r="AK34" s="62" t="n">
        <v>0</v>
      </c>
      <c r="AL34" s="62" t="n">
        <v>0</v>
      </c>
      <c r="AM34" s="62" t="n">
        <v>0</v>
      </c>
      <c r="AN34" s="63" t="n">
        <v>0</v>
      </c>
      <c r="AO34" s="60" t="n">
        <v>2</v>
      </c>
      <c r="AP34" s="62" t="n">
        <v>11</v>
      </c>
      <c r="AQ34" s="62" t="n">
        <v>2</v>
      </c>
      <c r="AR34" s="62" t="n">
        <v>11</v>
      </c>
      <c r="AS34" s="62" t="n">
        <v>1</v>
      </c>
      <c r="AT34" s="63" t="n">
        <v>10</v>
      </c>
      <c r="AU34" s="60" t="n">
        <v>0</v>
      </c>
      <c r="AV34" s="63" t="n">
        <v>1</v>
      </c>
      <c r="AW34" s="60" t="n">
        <v>34</v>
      </c>
      <c r="AX34" s="59" t="s">
        <v>1643</v>
      </c>
      <c r="AY34" s="104"/>
      <c r="AZ34" s="104"/>
      <c r="BA34" s="117" t="n">
        <f aca="false">SUM(A34:AV34)</f>
        <v>119</v>
      </c>
      <c r="BB34" s="74" t="n">
        <v>26</v>
      </c>
      <c r="BC34" s="122" t="s">
        <v>1691</v>
      </c>
      <c r="BD34" s="76" t="n">
        <v>0</v>
      </c>
      <c r="BE34" s="76" t="n">
        <f aca="false">_xlfn.RANK.EQ(BD34,$BD$9:$BD$48,0)</f>
        <v>1</v>
      </c>
    </row>
    <row r="35" customFormat="false" ht="18" hidden="false" customHeight="true" outlineLevel="0" collapsed="false">
      <c r="A35" s="66" t="n">
        <v>1</v>
      </c>
      <c r="B35" s="68" t="n">
        <v>0</v>
      </c>
      <c r="C35" s="68" t="n">
        <v>1</v>
      </c>
      <c r="D35" s="68" t="n">
        <v>0</v>
      </c>
      <c r="E35" s="68" t="n">
        <v>1</v>
      </c>
      <c r="F35" s="68" t="n">
        <v>0</v>
      </c>
      <c r="G35" s="68" t="n">
        <v>2</v>
      </c>
      <c r="H35" s="68" t="n">
        <v>0</v>
      </c>
      <c r="I35" s="68" t="n">
        <v>1</v>
      </c>
      <c r="J35" s="68" t="n">
        <v>0</v>
      </c>
      <c r="K35" s="69" t="n">
        <v>0</v>
      </c>
      <c r="L35" s="66" t="n">
        <v>0</v>
      </c>
      <c r="M35" s="68" t="n">
        <v>1</v>
      </c>
      <c r="N35" s="68" t="n">
        <v>0</v>
      </c>
      <c r="O35" s="68" t="n">
        <v>1</v>
      </c>
      <c r="P35" s="68" t="n">
        <v>1</v>
      </c>
      <c r="Q35" s="68" t="n">
        <v>2</v>
      </c>
      <c r="R35" s="68" t="n">
        <v>1</v>
      </c>
      <c r="S35" s="68" t="n">
        <v>1</v>
      </c>
      <c r="T35" s="68" t="n">
        <v>2</v>
      </c>
      <c r="U35" s="68" t="n">
        <v>1</v>
      </c>
      <c r="V35" s="67" t="n">
        <v>2</v>
      </c>
      <c r="W35" s="92" t="n">
        <v>0</v>
      </c>
      <c r="X35" s="64" t="n">
        <v>10</v>
      </c>
      <c r="Y35" s="67" t="n">
        <v>2</v>
      </c>
      <c r="Z35" s="67" t="n">
        <v>0</v>
      </c>
      <c r="AA35" s="67" t="n">
        <v>0</v>
      </c>
      <c r="AB35" s="67" t="n">
        <v>0</v>
      </c>
      <c r="AC35" s="67" t="n">
        <v>0</v>
      </c>
      <c r="AD35" s="67" t="n">
        <v>1</v>
      </c>
      <c r="AE35" s="92" t="n">
        <v>0</v>
      </c>
      <c r="AF35" s="64" t="n">
        <v>1</v>
      </c>
      <c r="AG35" s="67" t="n">
        <v>10</v>
      </c>
      <c r="AH35" s="67" t="n">
        <v>1</v>
      </c>
      <c r="AI35" s="61" t="n">
        <v>0</v>
      </c>
      <c r="AJ35" s="67" t="n">
        <v>11</v>
      </c>
      <c r="AK35" s="67" t="n">
        <v>0</v>
      </c>
      <c r="AL35" s="67" t="n">
        <v>0</v>
      </c>
      <c r="AM35" s="67" t="n">
        <v>0</v>
      </c>
      <c r="AN35" s="92" t="n">
        <v>1</v>
      </c>
      <c r="AO35" s="64" t="n">
        <v>0</v>
      </c>
      <c r="AP35" s="67" t="n">
        <v>11</v>
      </c>
      <c r="AQ35" s="67" t="n">
        <v>1</v>
      </c>
      <c r="AR35" s="67" t="n">
        <v>1</v>
      </c>
      <c r="AS35" s="67" t="n">
        <v>1</v>
      </c>
      <c r="AT35" s="92" t="n">
        <v>10</v>
      </c>
      <c r="AU35" s="64" t="n">
        <v>0</v>
      </c>
      <c r="AV35" s="92" t="n">
        <v>0</v>
      </c>
      <c r="AW35" s="123" t="n">
        <v>35</v>
      </c>
      <c r="AX35" s="65" t="s">
        <v>1692</v>
      </c>
      <c r="AY35" s="104"/>
      <c r="AZ35" s="104"/>
      <c r="BA35" s="117" t="n">
        <f aca="false">SUM(A35:AV35)</f>
        <v>79</v>
      </c>
      <c r="BB35" s="74" t="n">
        <v>27</v>
      </c>
      <c r="BC35" s="122" t="s">
        <v>1740</v>
      </c>
      <c r="BD35" s="76" t="n">
        <v>0</v>
      </c>
      <c r="BE35" s="76" t="n">
        <f aca="false">_xlfn.RANK.EQ(BD35,$BD$9:$BD$48,0)</f>
        <v>1</v>
      </c>
    </row>
    <row r="36" customFormat="false" ht="18" hidden="false" customHeight="true" outlineLevel="0" collapsed="false">
      <c r="A36" s="60" t="n">
        <v>0</v>
      </c>
      <c r="B36" s="62" t="n">
        <v>0</v>
      </c>
      <c r="C36" s="62" t="n">
        <v>1</v>
      </c>
      <c r="D36" s="62" t="n">
        <v>1</v>
      </c>
      <c r="E36" s="62" t="n">
        <v>2</v>
      </c>
      <c r="F36" s="62" t="n">
        <v>1</v>
      </c>
      <c r="G36" s="62" t="n">
        <v>11</v>
      </c>
      <c r="H36" s="62" t="n">
        <v>10</v>
      </c>
      <c r="I36" s="62" t="n">
        <v>2</v>
      </c>
      <c r="J36" s="62" t="n">
        <v>1</v>
      </c>
      <c r="K36" s="63" t="n">
        <v>1</v>
      </c>
      <c r="L36" s="60" t="n">
        <v>1</v>
      </c>
      <c r="M36" s="62" t="n">
        <v>1</v>
      </c>
      <c r="N36" s="62" t="n">
        <v>1</v>
      </c>
      <c r="O36" s="62" t="n">
        <v>11</v>
      </c>
      <c r="P36" s="62" t="n">
        <v>2</v>
      </c>
      <c r="Q36" s="62" t="n">
        <v>1</v>
      </c>
      <c r="R36" s="62" t="n">
        <v>11</v>
      </c>
      <c r="S36" s="62" t="n">
        <v>10</v>
      </c>
      <c r="T36" s="62" t="n">
        <v>10</v>
      </c>
      <c r="U36" s="62" t="n">
        <v>0</v>
      </c>
      <c r="V36" s="62" t="n">
        <v>0</v>
      </c>
      <c r="W36" s="63" t="n">
        <v>11</v>
      </c>
      <c r="X36" s="60" t="n">
        <v>0</v>
      </c>
      <c r="Y36" s="62" t="n">
        <v>1</v>
      </c>
      <c r="Z36" s="62" t="n">
        <v>1</v>
      </c>
      <c r="AA36" s="62" t="n">
        <v>3</v>
      </c>
      <c r="AB36" s="62" t="n">
        <v>1</v>
      </c>
      <c r="AC36" s="62" t="n">
        <v>0</v>
      </c>
      <c r="AD36" s="62" t="n">
        <v>1</v>
      </c>
      <c r="AE36" s="63" t="n">
        <v>2</v>
      </c>
      <c r="AF36" s="60" t="n">
        <v>11</v>
      </c>
      <c r="AG36" s="62" t="n">
        <v>0</v>
      </c>
      <c r="AH36" s="62" t="n">
        <v>11</v>
      </c>
      <c r="AI36" s="62" t="n">
        <v>0</v>
      </c>
      <c r="AJ36" s="61" t="n">
        <v>0</v>
      </c>
      <c r="AK36" s="62" t="n">
        <v>10</v>
      </c>
      <c r="AL36" s="62" t="n">
        <v>0</v>
      </c>
      <c r="AM36" s="62" t="n">
        <v>0</v>
      </c>
      <c r="AN36" s="63" t="n">
        <v>0</v>
      </c>
      <c r="AO36" s="60" t="n">
        <v>0</v>
      </c>
      <c r="AP36" s="62" t="n">
        <v>1</v>
      </c>
      <c r="AQ36" s="62" t="n">
        <v>1</v>
      </c>
      <c r="AR36" s="62" t="n">
        <v>1</v>
      </c>
      <c r="AS36" s="62" t="n">
        <v>1</v>
      </c>
      <c r="AT36" s="63" t="n">
        <v>1</v>
      </c>
      <c r="AU36" s="60" t="n">
        <v>0</v>
      </c>
      <c r="AV36" s="63" t="n">
        <v>0</v>
      </c>
      <c r="AW36" s="60" t="n">
        <v>36</v>
      </c>
      <c r="AX36" s="59" t="s">
        <v>41</v>
      </c>
      <c r="AY36" s="104"/>
      <c r="AZ36" s="104"/>
      <c r="BA36" s="117" t="n">
        <f aca="false">SUM(A36:AV36)</f>
        <v>135</v>
      </c>
      <c r="BB36" s="74" t="n">
        <v>28</v>
      </c>
      <c r="BC36" s="122" t="s">
        <v>1788</v>
      </c>
      <c r="BD36" s="76" t="n">
        <v>0</v>
      </c>
      <c r="BE36" s="76" t="n">
        <f aca="false">_xlfn.RANK.EQ(BD36,$BD$9:$BD$48,0)</f>
        <v>1</v>
      </c>
    </row>
    <row r="37" customFormat="false" ht="18" hidden="false" customHeight="true" outlineLevel="0" collapsed="false">
      <c r="A37" s="66" t="n">
        <v>0</v>
      </c>
      <c r="B37" s="68" t="n">
        <v>0</v>
      </c>
      <c r="C37" s="68" t="n">
        <v>0</v>
      </c>
      <c r="D37" s="68" t="n">
        <v>0</v>
      </c>
      <c r="E37" s="68" t="n">
        <v>1</v>
      </c>
      <c r="F37" s="68" t="n">
        <v>0</v>
      </c>
      <c r="G37" s="68" t="n">
        <v>1</v>
      </c>
      <c r="H37" s="68" t="n">
        <v>2</v>
      </c>
      <c r="I37" s="68" t="n">
        <v>0</v>
      </c>
      <c r="J37" s="68" t="n">
        <v>0</v>
      </c>
      <c r="K37" s="69" t="n">
        <v>0</v>
      </c>
      <c r="L37" s="66" t="n">
        <v>0</v>
      </c>
      <c r="M37" s="68" t="n">
        <v>1</v>
      </c>
      <c r="N37" s="68" t="n">
        <v>0</v>
      </c>
      <c r="O37" s="68" t="n">
        <v>0</v>
      </c>
      <c r="P37" s="68" t="n">
        <v>1</v>
      </c>
      <c r="Q37" s="68" t="n">
        <v>1</v>
      </c>
      <c r="R37" s="68" t="n">
        <v>10</v>
      </c>
      <c r="S37" s="68" t="n">
        <v>0</v>
      </c>
      <c r="T37" s="68" t="n">
        <v>0</v>
      </c>
      <c r="U37" s="68" t="n">
        <v>1</v>
      </c>
      <c r="V37" s="67" t="n">
        <v>10</v>
      </c>
      <c r="W37" s="92" t="n">
        <v>1</v>
      </c>
      <c r="X37" s="64" t="n">
        <v>1</v>
      </c>
      <c r="Y37" s="67" t="n">
        <v>0</v>
      </c>
      <c r="Z37" s="67" t="n">
        <v>0</v>
      </c>
      <c r="AA37" s="67" t="n">
        <v>0</v>
      </c>
      <c r="AB37" s="67" t="n">
        <v>0</v>
      </c>
      <c r="AC37" s="67" t="n">
        <v>0</v>
      </c>
      <c r="AD37" s="67" t="n">
        <v>1</v>
      </c>
      <c r="AE37" s="92" t="n">
        <v>1</v>
      </c>
      <c r="AF37" s="64" t="n">
        <v>10</v>
      </c>
      <c r="AG37" s="67" t="n">
        <v>11</v>
      </c>
      <c r="AH37" s="67" t="n">
        <v>0</v>
      </c>
      <c r="AI37" s="67" t="n">
        <v>0</v>
      </c>
      <c r="AJ37" s="67" t="n">
        <v>0</v>
      </c>
      <c r="AK37" s="61" t="n">
        <v>0</v>
      </c>
      <c r="AL37" s="67" t="n">
        <v>11</v>
      </c>
      <c r="AM37" s="67" t="n">
        <v>1</v>
      </c>
      <c r="AN37" s="92" t="n">
        <v>0</v>
      </c>
      <c r="AO37" s="64" t="n">
        <v>2</v>
      </c>
      <c r="AP37" s="67" t="n">
        <v>0</v>
      </c>
      <c r="AQ37" s="67" t="n">
        <v>1</v>
      </c>
      <c r="AR37" s="67" t="n">
        <v>0</v>
      </c>
      <c r="AS37" s="67" t="n">
        <v>0</v>
      </c>
      <c r="AT37" s="92" t="n">
        <v>0</v>
      </c>
      <c r="AU37" s="64" t="n">
        <v>0</v>
      </c>
      <c r="AV37" s="92" t="n">
        <v>1</v>
      </c>
      <c r="AW37" s="123" t="n">
        <v>37</v>
      </c>
      <c r="AX37" s="65" t="s">
        <v>42</v>
      </c>
      <c r="AY37" s="104"/>
      <c r="AZ37" s="104"/>
      <c r="BA37" s="117" t="n">
        <f aca="false">SUM(A37:AV37)</f>
        <v>69</v>
      </c>
      <c r="BB37" s="74" t="n">
        <v>29</v>
      </c>
      <c r="BC37" s="122" t="s">
        <v>1836</v>
      </c>
      <c r="BD37" s="76" t="n">
        <v>0</v>
      </c>
      <c r="BE37" s="76" t="n">
        <f aca="false">_xlfn.RANK.EQ(BD37,$BD$9:$BD$48,0)</f>
        <v>1</v>
      </c>
    </row>
    <row r="38" customFormat="false" ht="18" hidden="false" customHeight="true" outlineLevel="0" collapsed="false">
      <c r="A38" s="60" t="n">
        <v>1</v>
      </c>
      <c r="B38" s="62" t="n">
        <v>2</v>
      </c>
      <c r="C38" s="62" t="n">
        <v>0</v>
      </c>
      <c r="D38" s="62" t="n">
        <v>0</v>
      </c>
      <c r="E38" s="62" t="n">
        <v>1</v>
      </c>
      <c r="F38" s="62" t="n">
        <v>0</v>
      </c>
      <c r="G38" s="62" t="n">
        <v>1</v>
      </c>
      <c r="H38" s="62" t="n">
        <v>0</v>
      </c>
      <c r="I38" s="62" t="n">
        <v>1</v>
      </c>
      <c r="J38" s="62" t="n">
        <v>0</v>
      </c>
      <c r="K38" s="63" t="n">
        <v>0</v>
      </c>
      <c r="L38" s="60" t="n">
        <v>1</v>
      </c>
      <c r="M38" s="62" t="n">
        <v>0</v>
      </c>
      <c r="N38" s="62" t="n">
        <v>0</v>
      </c>
      <c r="O38" s="62" t="n">
        <v>0</v>
      </c>
      <c r="P38" s="62" t="n">
        <v>2</v>
      </c>
      <c r="Q38" s="62" t="n">
        <v>2</v>
      </c>
      <c r="R38" s="62" t="n">
        <v>10</v>
      </c>
      <c r="S38" s="62" t="n">
        <v>0</v>
      </c>
      <c r="T38" s="62" t="n">
        <v>0</v>
      </c>
      <c r="U38" s="62" t="n">
        <v>0</v>
      </c>
      <c r="V38" s="62" t="n">
        <v>0</v>
      </c>
      <c r="W38" s="63" t="n">
        <v>0</v>
      </c>
      <c r="X38" s="60" t="n">
        <v>11</v>
      </c>
      <c r="Y38" s="62" t="n">
        <v>1</v>
      </c>
      <c r="Z38" s="62" t="n">
        <v>1</v>
      </c>
      <c r="AA38" s="62" t="n">
        <v>2</v>
      </c>
      <c r="AB38" s="62" t="n">
        <v>0</v>
      </c>
      <c r="AC38" s="62" t="n">
        <v>0</v>
      </c>
      <c r="AD38" s="62" t="n">
        <v>10</v>
      </c>
      <c r="AE38" s="63" t="n">
        <v>1</v>
      </c>
      <c r="AF38" s="60" t="n">
        <v>1</v>
      </c>
      <c r="AG38" s="62" t="n">
        <v>0</v>
      </c>
      <c r="AH38" s="62" t="n">
        <v>0</v>
      </c>
      <c r="AI38" s="62" t="n">
        <v>0</v>
      </c>
      <c r="AJ38" s="62" t="n">
        <v>1</v>
      </c>
      <c r="AK38" s="62" t="n">
        <v>0</v>
      </c>
      <c r="AL38" s="61" t="n">
        <v>0</v>
      </c>
      <c r="AM38" s="62" t="n">
        <v>1</v>
      </c>
      <c r="AN38" s="63" t="n">
        <v>0</v>
      </c>
      <c r="AO38" s="60" t="n">
        <v>0</v>
      </c>
      <c r="AP38" s="62" t="n">
        <v>0</v>
      </c>
      <c r="AQ38" s="62" t="n">
        <v>1</v>
      </c>
      <c r="AR38" s="62" t="n">
        <v>2</v>
      </c>
      <c r="AS38" s="62" t="n">
        <v>0</v>
      </c>
      <c r="AT38" s="63" t="n">
        <v>1</v>
      </c>
      <c r="AU38" s="60" t="n">
        <v>0</v>
      </c>
      <c r="AV38" s="63" t="n">
        <v>0</v>
      </c>
      <c r="AW38" s="60" t="n">
        <v>38</v>
      </c>
      <c r="AX38" s="59" t="s">
        <v>1837</v>
      </c>
      <c r="AY38" s="104"/>
      <c r="AZ38" s="104"/>
      <c r="BA38" s="117" t="n">
        <f aca="false">SUM(A38:AV38)</f>
        <v>54</v>
      </c>
      <c r="BB38" s="74" t="n">
        <v>30</v>
      </c>
      <c r="BC38" s="122" t="s">
        <v>1885</v>
      </c>
      <c r="BD38" s="76" t="n">
        <v>0</v>
      </c>
      <c r="BE38" s="76" t="n">
        <f aca="false">_xlfn.RANK.EQ(BD38,$BD$9:$BD$48,0)</f>
        <v>1</v>
      </c>
    </row>
    <row r="39" customFormat="false" ht="18" hidden="false" customHeight="true" outlineLevel="0" collapsed="false">
      <c r="A39" s="66" t="n">
        <v>0</v>
      </c>
      <c r="B39" s="68" t="n">
        <v>0</v>
      </c>
      <c r="C39" s="68" t="n">
        <v>2</v>
      </c>
      <c r="D39" s="68" t="n">
        <v>1</v>
      </c>
      <c r="E39" s="68" t="n">
        <v>1</v>
      </c>
      <c r="F39" s="68" t="n">
        <v>1</v>
      </c>
      <c r="G39" s="68" t="n">
        <v>1</v>
      </c>
      <c r="H39" s="68" t="n">
        <v>0</v>
      </c>
      <c r="I39" s="68" t="n">
        <v>11</v>
      </c>
      <c r="J39" s="68" t="n">
        <v>1</v>
      </c>
      <c r="K39" s="69" t="n">
        <v>0</v>
      </c>
      <c r="L39" s="66" t="n">
        <v>0</v>
      </c>
      <c r="M39" s="68" t="n">
        <v>2</v>
      </c>
      <c r="N39" s="68" t="n">
        <v>10</v>
      </c>
      <c r="O39" s="68" t="n">
        <v>1</v>
      </c>
      <c r="P39" s="68" t="n">
        <v>11</v>
      </c>
      <c r="Q39" s="68" t="n">
        <v>1</v>
      </c>
      <c r="R39" s="68" t="n">
        <v>11</v>
      </c>
      <c r="S39" s="68" t="n">
        <v>0</v>
      </c>
      <c r="T39" s="68" t="n">
        <v>0</v>
      </c>
      <c r="U39" s="68" t="n">
        <v>0</v>
      </c>
      <c r="V39" s="67" t="n">
        <v>1</v>
      </c>
      <c r="W39" s="92" t="n">
        <v>2</v>
      </c>
      <c r="X39" s="64" t="n">
        <v>1</v>
      </c>
      <c r="Y39" s="67" t="n">
        <v>2</v>
      </c>
      <c r="Z39" s="67" t="n">
        <v>2</v>
      </c>
      <c r="AA39" s="67" t="n">
        <v>2</v>
      </c>
      <c r="AB39" s="67" t="n">
        <v>0</v>
      </c>
      <c r="AC39" s="67" t="n">
        <v>0</v>
      </c>
      <c r="AD39" s="67" t="n">
        <v>2</v>
      </c>
      <c r="AE39" s="92" t="n">
        <v>1</v>
      </c>
      <c r="AF39" s="64" t="n">
        <v>2</v>
      </c>
      <c r="AG39" s="67" t="n">
        <v>0</v>
      </c>
      <c r="AH39" s="67" t="n">
        <v>0</v>
      </c>
      <c r="AI39" s="67" t="n">
        <v>0</v>
      </c>
      <c r="AJ39" s="67" t="n">
        <v>0</v>
      </c>
      <c r="AK39" s="67" t="n">
        <v>0</v>
      </c>
      <c r="AL39" s="67" t="n">
        <v>0</v>
      </c>
      <c r="AM39" s="61" t="n">
        <v>0</v>
      </c>
      <c r="AN39" s="92" t="n">
        <v>1</v>
      </c>
      <c r="AO39" s="64" t="n">
        <v>1</v>
      </c>
      <c r="AP39" s="67" t="n">
        <v>0</v>
      </c>
      <c r="AQ39" s="67" t="n">
        <v>1</v>
      </c>
      <c r="AR39" s="67" t="n">
        <v>1</v>
      </c>
      <c r="AS39" s="67" t="n">
        <v>0</v>
      </c>
      <c r="AT39" s="92" t="n">
        <v>0</v>
      </c>
      <c r="AU39" s="64" t="n">
        <v>1</v>
      </c>
      <c r="AV39" s="92" t="n">
        <v>0</v>
      </c>
      <c r="AW39" s="123" t="n">
        <v>39</v>
      </c>
      <c r="AX39" s="65" t="s">
        <v>44</v>
      </c>
      <c r="AY39" s="104"/>
      <c r="AZ39" s="104"/>
      <c r="BA39" s="117" t="n">
        <f aca="false">SUM(A39:AV39)</f>
        <v>74</v>
      </c>
      <c r="BB39" s="74" t="n">
        <v>31</v>
      </c>
      <c r="BC39" s="122" t="s">
        <v>1933</v>
      </c>
      <c r="BD39" s="76" t="n">
        <v>0</v>
      </c>
      <c r="BE39" s="76" t="n">
        <f aca="false">_xlfn.RANK.EQ(BD39,$BD$9:$BD$48,0)</f>
        <v>1</v>
      </c>
    </row>
    <row r="40" customFormat="false" ht="18" hidden="false" customHeight="true" outlineLevel="0" collapsed="false">
      <c r="A40" s="105" t="n">
        <v>0</v>
      </c>
      <c r="B40" s="107" t="n">
        <v>0</v>
      </c>
      <c r="C40" s="107" t="n">
        <v>10</v>
      </c>
      <c r="D40" s="107" t="n">
        <v>1</v>
      </c>
      <c r="E40" s="107" t="n">
        <v>10</v>
      </c>
      <c r="F40" s="107" t="n">
        <v>0</v>
      </c>
      <c r="G40" s="107" t="n">
        <v>1</v>
      </c>
      <c r="H40" s="107" t="n">
        <v>0</v>
      </c>
      <c r="I40" s="107" t="n">
        <v>1</v>
      </c>
      <c r="J40" s="107" t="n">
        <v>0</v>
      </c>
      <c r="K40" s="108" t="n">
        <v>0</v>
      </c>
      <c r="L40" s="105" t="n">
        <v>10</v>
      </c>
      <c r="M40" s="107" t="n">
        <v>1</v>
      </c>
      <c r="N40" s="107" t="n">
        <v>1</v>
      </c>
      <c r="O40" s="107" t="n">
        <v>0</v>
      </c>
      <c r="P40" s="107" t="n">
        <v>2</v>
      </c>
      <c r="Q40" s="107" t="n">
        <v>10</v>
      </c>
      <c r="R40" s="107" t="n">
        <v>1</v>
      </c>
      <c r="S40" s="107" t="n">
        <v>11</v>
      </c>
      <c r="T40" s="107" t="n">
        <v>2</v>
      </c>
      <c r="U40" s="107" t="n">
        <v>0</v>
      </c>
      <c r="V40" s="107" t="n">
        <v>1</v>
      </c>
      <c r="W40" s="108" t="n">
        <v>1</v>
      </c>
      <c r="X40" s="105" t="n">
        <v>0</v>
      </c>
      <c r="Y40" s="107" t="n">
        <v>1</v>
      </c>
      <c r="Z40" s="107" t="n">
        <v>1</v>
      </c>
      <c r="AA40" s="107" t="n">
        <v>0</v>
      </c>
      <c r="AB40" s="107" t="n">
        <v>0</v>
      </c>
      <c r="AC40" s="107" t="n">
        <v>1</v>
      </c>
      <c r="AD40" s="107" t="n">
        <v>1</v>
      </c>
      <c r="AE40" s="108" t="n">
        <v>0</v>
      </c>
      <c r="AF40" s="105" t="n">
        <v>1</v>
      </c>
      <c r="AG40" s="107" t="n">
        <v>0</v>
      </c>
      <c r="AH40" s="107" t="n">
        <v>1</v>
      </c>
      <c r="AI40" s="107" t="n">
        <v>0</v>
      </c>
      <c r="AJ40" s="107" t="n">
        <v>0</v>
      </c>
      <c r="AK40" s="107" t="n">
        <v>0</v>
      </c>
      <c r="AL40" s="107" t="n">
        <v>1</v>
      </c>
      <c r="AM40" s="107" t="n">
        <v>0</v>
      </c>
      <c r="AN40" s="98" t="n">
        <v>0</v>
      </c>
      <c r="AO40" s="105" t="n">
        <v>1</v>
      </c>
      <c r="AP40" s="107" t="n">
        <v>2</v>
      </c>
      <c r="AQ40" s="107" t="n">
        <v>1</v>
      </c>
      <c r="AR40" s="107" t="n">
        <v>0</v>
      </c>
      <c r="AS40" s="107" t="n">
        <v>0</v>
      </c>
      <c r="AT40" s="108" t="n">
        <v>10</v>
      </c>
      <c r="AU40" s="105" t="n">
        <v>1</v>
      </c>
      <c r="AV40" s="108" t="n">
        <v>0</v>
      </c>
      <c r="AW40" s="105" t="n">
        <v>40</v>
      </c>
      <c r="AX40" s="125" t="s">
        <v>1934</v>
      </c>
      <c r="AY40" s="104"/>
      <c r="AZ40" s="104"/>
      <c r="BA40" s="117" t="n">
        <f aca="false">SUM(A40:AV40)</f>
        <v>85</v>
      </c>
      <c r="BB40" s="74" t="n">
        <v>32</v>
      </c>
      <c r="BC40" s="122" t="s">
        <v>1982</v>
      </c>
      <c r="BD40" s="76" t="n">
        <v>0</v>
      </c>
      <c r="BE40" s="76" t="n">
        <f aca="false">_xlfn.RANK.EQ(BD40,$BD$9:$BD$48,0)</f>
        <v>1</v>
      </c>
    </row>
    <row r="41" customFormat="false" ht="18" hidden="false" customHeight="true" outlineLevel="0" collapsed="false">
      <c r="A41" s="56" t="n">
        <v>2</v>
      </c>
      <c r="B41" s="54" t="n">
        <v>10</v>
      </c>
      <c r="C41" s="54" t="n">
        <v>2</v>
      </c>
      <c r="D41" s="54" t="n">
        <v>1</v>
      </c>
      <c r="E41" s="54" t="n">
        <v>2</v>
      </c>
      <c r="F41" s="54" t="n">
        <v>10</v>
      </c>
      <c r="G41" s="54" t="n">
        <v>1</v>
      </c>
      <c r="H41" s="54" t="n">
        <v>11</v>
      </c>
      <c r="I41" s="54" t="n">
        <v>1</v>
      </c>
      <c r="J41" s="54" t="n">
        <v>1</v>
      </c>
      <c r="K41" s="55" t="n">
        <v>2</v>
      </c>
      <c r="L41" s="56" t="n">
        <v>2</v>
      </c>
      <c r="M41" s="54" t="n">
        <v>1</v>
      </c>
      <c r="N41" s="54" t="n">
        <v>2</v>
      </c>
      <c r="O41" s="54" t="n">
        <v>2</v>
      </c>
      <c r="P41" s="54" t="n">
        <v>1</v>
      </c>
      <c r="Q41" s="54" t="n">
        <v>1</v>
      </c>
      <c r="R41" s="54" t="n">
        <v>2</v>
      </c>
      <c r="S41" s="54" t="n">
        <v>2</v>
      </c>
      <c r="T41" s="54" t="n">
        <v>1</v>
      </c>
      <c r="U41" s="54" t="n">
        <v>10</v>
      </c>
      <c r="V41" s="112" t="n">
        <v>0</v>
      </c>
      <c r="W41" s="113" t="n">
        <v>1</v>
      </c>
      <c r="X41" s="110" t="n">
        <v>11</v>
      </c>
      <c r="Y41" s="112" t="n">
        <v>2</v>
      </c>
      <c r="Z41" s="112" t="n">
        <v>1</v>
      </c>
      <c r="AA41" s="112" t="n">
        <v>1</v>
      </c>
      <c r="AB41" s="112" t="n">
        <v>0</v>
      </c>
      <c r="AC41" s="112" t="n">
        <v>0</v>
      </c>
      <c r="AD41" s="112" t="n">
        <v>0</v>
      </c>
      <c r="AE41" s="113" t="n">
        <v>0</v>
      </c>
      <c r="AF41" s="110" t="n">
        <v>11</v>
      </c>
      <c r="AG41" s="112" t="n">
        <v>1</v>
      </c>
      <c r="AH41" s="112" t="n">
        <v>1</v>
      </c>
      <c r="AI41" s="112" t="n">
        <v>0</v>
      </c>
      <c r="AJ41" s="112" t="n">
        <v>10</v>
      </c>
      <c r="AK41" s="112" t="n">
        <v>10</v>
      </c>
      <c r="AL41" s="112" t="n">
        <v>1</v>
      </c>
      <c r="AM41" s="112" t="n">
        <v>0</v>
      </c>
      <c r="AN41" s="113" t="n">
        <v>0</v>
      </c>
      <c r="AO41" s="53" t="n">
        <v>0</v>
      </c>
      <c r="AP41" s="112" t="n">
        <v>1</v>
      </c>
      <c r="AQ41" s="112" t="n">
        <v>10</v>
      </c>
      <c r="AR41" s="112" t="n">
        <v>11</v>
      </c>
      <c r="AS41" s="112" t="n">
        <v>1</v>
      </c>
      <c r="AT41" s="113" t="n">
        <v>0</v>
      </c>
      <c r="AU41" s="110" t="n">
        <v>1</v>
      </c>
      <c r="AV41" s="113" t="n">
        <v>3</v>
      </c>
      <c r="AW41" s="126" t="n">
        <v>41</v>
      </c>
      <c r="AX41" s="52" t="s">
        <v>1983</v>
      </c>
      <c r="AY41" s="127" t="s">
        <v>4</v>
      </c>
      <c r="AZ41" s="127"/>
      <c r="BA41" s="117" t="n">
        <f aca="false">SUM(A41:AV41)</f>
        <v>144</v>
      </c>
      <c r="BB41" s="74" t="n">
        <v>33</v>
      </c>
      <c r="BC41" s="122" t="s">
        <v>2031</v>
      </c>
      <c r="BD41" s="76" t="n">
        <v>0</v>
      </c>
      <c r="BE41" s="76" t="n">
        <f aca="false">_xlfn.RANK.EQ(BD41,$BD$9:$BD$48,0)</f>
        <v>1</v>
      </c>
    </row>
    <row r="42" customFormat="false" ht="18" hidden="false" customHeight="true" outlineLevel="0" collapsed="false">
      <c r="A42" s="60" t="n">
        <v>0</v>
      </c>
      <c r="B42" s="62" t="n">
        <v>0</v>
      </c>
      <c r="C42" s="62" t="n">
        <v>0</v>
      </c>
      <c r="D42" s="62" t="n">
        <v>1</v>
      </c>
      <c r="E42" s="62" t="n">
        <v>0</v>
      </c>
      <c r="F42" s="62" t="n">
        <v>0</v>
      </c>
      <c r="G42" s="62" t="n">
        <v>1</v>
      </c>
      <c r="H42" s="62" t="n">
        <v>1</v>
      </c>
      <c r="I42" s="62" t="n">
        <v>1</v>
      </c>
      <c r="J42" s="62" t="n">
        <v>1</v>
      </c>
      <c r="K42" s="63" t="n">
        <v>0</v>
      </c>
      <c r="L42" s="60" t="n">
        <v>0</v>
      </c>
      <c r="M42" s="62" t="n">
        <v>0</v>
      </c>
      <c r="N42" s="62" t="n">
        <v>0</v>
      </c>
      <c r="O42" s="62" t="n">
        <v>10</v>
      </c>
      <c r="P42" s="62" t="n">
        <v>0</v>
      </c>
      <c r="Q42" s="62" t="n">
        <v>0</v>
      </c>
      <c r="R42" s="62" t="n">
        <v>0</v>
      </c>
      <c r="S42" s="62" t="n">
        <v>1</v>
      </c>
      <c r="T42" s="62" t="n">
        <v>0</v>
      </c>
      <c r="U42" s="62" t="n">
        <v>0</v>
      </c>
      <c r="V42" s="62" t="n">
        <v>0</v>
      </c>
      <c r="W42" s="63" t="n">
        <v>0</v>
      </c>
      <c r="X42" s="60" t="n">
        <v>0</v>
      </c>
      <c r="Y42" s="62" t="n">
        <v>0</v>
      </c>
      <c r="Z42" s="62" t="n">
        <v>1</v>
      </c>
      <c r="AA42" s="62" t="n">
        <v>0</v>
      </c>
      <c r="AB42" s="62" t="n">
        <v>1</v>
      </c>
      <c r="AC42" s="62" t="n">
        <v>0</v>
      </c>
      <c r="AD42" s="62" t="n">
        <v>0</v>
      </c>
      <c r="AE42" s="63" t="n">
        <v>0</v>
      </c>
      <c r="AF42" s="60" t="n">
        <v>2</v>
      </c>
      <c r="AG42" s="62" t="n">
        <v>2</v>
      </c>
      <c r="AH42" s="62" t="n">
        <v>1</v>
      </c>
      <c r="AI42" s="62" t="n">
        <v>1</v>
      </c>
      <c r="AJ42" s="62" t="n">
        <v>1</v>
      </c>
      <c r="AK42" s="62" t="n">
        <v>0</v>
      </c>
      <c r="AL42" s="62" t="n">
        <v>0</v>
      </c>
      <c r="AM42" s="62" t="n">
        <v>0</v>
      </c>
      <c r="AN42" s="63" t="n">
        <v>0</v>
      </c>
      <c r="AO42" s="60" t="n">
        <v>1</v>
      </c>
      <c r="AP42" s="61" t="n">
        <v>0</v>
      </c>
      <c r="AQ42" s="62" t="n">
        <v>1</v>
      </c>
      <c r="AR42" s="62" t="n">
        <v>0</v>
      </c>
      <c r="AS42" s="62" t="n">
        <v>0</v>
      </c>
      <c r="AT42" s="63" t="n">
        <v>0</v>
      </c>
      <c r="AU42" s="60" t="n">
        <v>0</v>
      </c>
      <c r="AV42" s="63" t="n">
        <v>0</v>
      </c>
      <c r="AW42" s="60" t="n">
        <v>42</v>
      </c>
      <c r="AX42" s="128" t="s">
        <v>2032</v>
      </c>
      <c r="AY42" s="127"/>
      <c r="AZ42" s="127"/>
      <c r="BA42" s="117" t="n">
        <f aca="false">SUM(A42:AV42)</f>
        <v>27</v>
      </c>
      <c r="BB42" s="74" t="n">
        <v>34</v>
      </c>
      <c r="BC42" s="122" t="s">
        <v>2080</v>
      </c>
      <c r="BD42" s="76" t="n">
        <v>0</v>
      </c>
      <c r="BE42" s="76" t="n">
        <f aca="false">_xlfn.RANK.EQ(BD42,$BD$9:$BD$48,0)</f>
        <v>1</v>
      </c>
    </row>
    <row r="43" customFormat="false" ht="18" hidden="false" customHeight="true" outlineLevel="0" collapsed="false">
      <c r="A43" s="66" t="n">
        <v>1</v>
      </c>
      <c r="B43" s="68" t="n">
        <v>1</v>
      </c>
      <c r="C43" s="68" t="n">
        <v>1</v>
      </c>
      <c r="D43" s="68" t="n">
        <v>1</v>
      </c>
      <c r="E43" s="68" t="n">
        <v>1</v>
      </c>
      <c r="F43" s="68" t="n">
        <v>1</v>
      </c>
      <c r="G43" s="68" t="n">
        <v>0</v>
      </c>
      <c r="H43" s="67" t="n">
        <v>0</v>
      </c>
      <c r="I43" s="68" t="n">
        <v>2</v>
      </c>
      <c r="J43" s="68" t="n">
        <v>0</v>
      </c>
      <c r="K43" s="69" t="n">
        <v>0</v>
      </c>
      <c r="L43" s="66" t="n">
        <v>0</v>
      </c>
      <c r="M43" s="68" t="n">
        <v>0</v>
      </c>
      <c r="N43" s="68" t="n">
        <v>0</v>
      </c>
      <c r="O43" s="68" t="n">
        <v>11</v>
      </c>
      <c r="P43" s="68" t="n">
        <v>10</v>
      </c>
      <c r="Q43" s="68" t="n">
        <v>10</v>
      </c>
      <c r="R43" s="68" t="n">
        <v>1</v>
      </c>
      <c r="S43" s="68" t="n">
        <v>2</v>
      </c>
      <c r="T43" s="68" t="n">
        <v>1</v>
      </c>
      <c r="U43" s="68" t="n">
        <v>10</v>
      </c>
      <c r="V43" s="67" t="n">
        <v>0</v>
      </c>
      <c r="W43" s="92" t="n">
        <v>0</v>
      </c>
      <c r="X43" s="64" t="n">
        <v>1</v>
      </c>
      <c r="Y43" s="67" t="n">
        <v>1</v>
      </c>
      <c r="Z43" s="67" t="n">
        <v>10</v>
      </c>
      <c r="AA43" s="67" t="n">
        <v>0</v>
      </c>
      <c r="AB43" s="67" t="n">
        <v>0</v>
      </c>
      <c r="AC43" s="67" t="n">
        <v>1</v>
      </c>
      <c r="AD43" s="67" t="n">
        <v>10</v>
      </c>
      <c r="AE43" s="92" t="n">
        <v>0</v>
      </c>
      <c r="AF43" s="64" t="n">
        <v>2</v>
      </c>
      <c r="AG43" s="67" t="n">
        <v>0</v>
      </c>
      <c r="AH43" s="67" t="n">
        <v>2</v>
      </c>
      <c r="AI43" s="67" t="n">
        <v>10</v>
      </c>
      <c r="AJ43" s="67" t="n">
        <v>0</v>
      </c>
      <c r="AK43" s="67" t="n">
        <v>0</v>
      </c>
      <c r="AL43" s="67" t="n">
        <v>0</v>
      </c>
      <c r="AM43" s="67" t="n">
        <v>0</v>
      </c>
      <c r="AN43" s="92" t="n">
        <v>1</v>
      </c>
      <c r="AO43" s="64" t="n">
        <v>11</v>
      </c>
      <c r="AP43" s="67" t="n">
        <v>1</v>
      </c>
      <c r="AQ43" s="61" t="n">
        <v>0</v>
      </c>
      <c r="AR43" s="67" t="n">
        <v>11</v>
      </c>
      <c r="AS43" s="67" t="n">
        <v>10</v>
      </c>
      <c r="AT43" s="92" t="n">
        <v>0</v>
      </c>
      <c r="AU43" s="64" t="n">
        <v>1</v>
      </c>
      <c r="AV43" s="92" t="n">
        <v>0</v>
      </c>
      <c r="AW43" s="123" t="n">
        <v>43</v>
      </c>
      <c r="AX43" s="65" t="s">
        <v>48</v>
      </c>
      <c r="AY43" s="127"/>
      <c r="AZ43" s="127"/>
      <c r="BA43" s="117" t="n">
        <f aca="false">SUM(A43:AV43)</f>
        <v>125</v>
      </c>
      <c r="BB43" s="74" t="n">
        <v>35</v>
      </c>
      <c r="BC43" s="122" t="s">
        <v>2128</v>
      </c>
      <c r="BD43" s="76" t="n">
        <v>0</v>
      </c>
      <c r="BE43" s="76" t="n">
        <f aca="false">_xlfn.RANK.EQ(BD43,$BD$9:$BD$48,0)</f>
        <v>1</v>
      </c>
    </row>
    <row r="44" customFormat="false" ht="18" hidden="false" customHeight="true" outlineLevel="0" collapsed="false">
      <c r="A44" s="60" t="n">
        <v>0</v>
      </c>
      <c r="B44" s="62" t="n">
        <v>2</v>
      </c>
      <c r="C44" s="62" t="n">
        <v>0</v>
      </c>
      <c r="D44" s="62" t="n">
        <v>1</v>
      </c>
      <c r="E44" s="62" t="n">
        <v>1</v>
      </c>
      <c r="F44" s="62" t="n">
        <v>0</v>
      </c>
      <c r="G44" s="62" t="n">
        <v>1</v>
      </c>
      <c r="H44" s="62" t="n">
        <v>1</v>
      </c>
      <c r="I44" s="62" t="n">
        <v>1</v>
      </c>
      <c r="J44" s="62" t="n">
        <v>0</v>
      </c>
      <c r="K44" s="63" t="n">
        <v>0</v>
      </c>
      <c r="L44" s="60" t="n">
        <v>0</v>
      </c>
      <c r="M44" s="62" t="n">
        <v>10</v>
      </c>
      <c r="N44" s="62" t="n">
        <v>1</v>
      </c>
      <c r="O44" s="62" t="n">
        <v>2</v>
      </c>
      <c r="P44" s="62" t="n">
        <v>0</v>
      </c>
      <c r="Q44" s="62" t="n">
        <v>10</v>
      </c>
      <c r="R44" s="62" t="n">
        <v>1</v>
      </c>
      <c r="S44" s="62" t="n">
        <v>1</v>
      </c>
      <c r="T44" s="62" t="n">
        <v>0</v>
      </c>
      <c r="U44" s="62" t="n">
        <v>1</v>
      </c>
      <c r="V44" s="62" t="n">
        <v>0</v>
      </c>
      <c r="W44" s="63" t="n">
        <v>10</v>
      </c>
      <c r="X44" s="60" t="n">
        <v>0</v>
      </c>
      <c r="Y44" s="62" t="n">
        <v>1</v>
      </c>
      <c r="Z44" s="62" t="n">
        <v>1</v>
      </c>
      <c r="AA44" s="62" t="n">
        <v>1</v>
      </c>
      <c r="AB44" s="62" t="n">
        <v>0</v>
      </c>
      <c r="AC44" s="62" t="n">
        <v>1</v>
      </c>
      <c r="AD44" s="62" t="n">
        <v>0</v>
      </c>
      <c r="AE44" s="63" t="n">
        <v>0</v>
      </c>
      <c r="AF44" s="60" t="n">
        <v>2</v>
      </c>
      <c r="AG44" s="62" t="n">
        <v>1</v>
      </c>
      <c r="AH44" s="62" t="n">
        <v>2</v>
      </c>
      <c r="AI44" s="62" t="n">
        <v>1</v>
      </c>
      <c r="AJ44" s="62" t="n">
        <v>10</v>
      </c>
      <c r="AK44" s="62" t="n">
        <v>1</v>
      </c>
      <c r="AL44" s="62" t="n">
        <v>1</v>
      </c>
      <c r="AM44" s="62" t="n">
        <v>1</v>
      </c>
      <c r="AN44" s="63" t="n">
        <v>0</v>
      </c>
      <c r="AO44" s="60" t="n">
        <v>10</v>
      </c>
      <c r="AP44" s="62" t="n">
        <v>1</v>
      </c>
      <c r="AQ44" s="62" t="n">
        <v>1</v>
      </c>
      <c r="AR44" s="61" t="n">
        <v>0</v>
      </c>
      <c r="AS44" s="62" t="n">
        <v>2</v>
      </c>
      <c r="AT44" s="63" t="n">
        <v>1</v>
      </c>
      <c r="AU44" s="60" t="n">
        <v>0</v>
      </c>
      <c r="AV44" s="63" t="n">
        <v>10</v>
      </c>
      <c r="AW44" s="60" t="n">
        <v>44</v>
      </c>
      <c r="AX44" s="59" t="s">
        <v>49</v>
      </c>
      <c r="AY44" s="127"/>
      <c r="AZ44" s="127"/>
      <c r="BA44" s="117" t="n">
        <f aca="false">SUM(A44:AV44)</f>
        <v>91</v>
      </c>
      <c r="BB44" s="74" t="n">
        <v>36</v>
      </c>
      <c r="BC44" s="122" t="s">
        <v>2176</v>
      </c>
      <c r="BD44" s="76" t="n">
        <v>0</v>
      </c>
      <c r="BE44" s="76" t="n">
        <f aca="false">_xlfn.RANK.EQ(BD44,$BD$9:$BD$48,0)</f>
        <v>1</v>
      </c>
    </row>
    <row r="45" customFormat="false" ht="18" hidden="false" customHeight="true" outlineLevel="0" collapsed="false">
      <c r="A45" s="66" t="n">
        <v>0</v>
      </c>
      <c r="B45" s="68" t="n">
        <v>0</v>
      </c>
      <c r="C45" s="68" t="n">
        <v>10</v>
      </c>
      <c r="D45" s="68" t="n">
        <v>0</v>
      </c>
      <c r="E45" s="68" t="n">
        <v>1</v>
      </c>
      <c r="F45" s="68" t="n">
        <v>0</v>
      </c>
      <c r="G45" s="68" t="n">
        <v>0</v>
      </c>
      <c r="H45" s="68" t="n">
        <v>1</v>
      </c>
      <c r="I45" s="68" t="n">
        <v>2</v>
      </c>
      <c r="J45" s="68" t="n">
        <v>0</v>
      </c>
      <c r="K45" s="69" t="n">
        <v>0</v>
      </c>
      <c r="L45" s="66" t="n">
        <v>2</v>
      </c>
      <c r="M45" s="68" t="n">
        <v>0</v>
      </c>
      <c r="N45" s="68" t="n">
        <v>0</v>
      </c>
      <c r="O45" s="68" t="n">
        <v>0</v>
      </c>
      <c r="P45" s="68" t="n">
        <v>0</v>
      </c>
      <c r="Q45" s="68" t="n">
        <v>0</v>
      </c>
      <c r="R45" s="68" t="n">
        <v>0</v>
      </c>
      <c r="S45" s="68" t="n">
        <v>1</v>
      </c>
      <c r="T45" s="68" t="n">
        <v>0</v>
      </c>
      <c r="U45" s="68" t="n">
        <v>0</v>
      </c>
      <c r="V45" s="67" t="n">
        <v>0</v>
      </c>
      <c r="W45" s="92" t="n">
        <v>0</v>
      </c>
      <c r="X45" s="64" t="n">
        <v>1</v>
      </c>
      <c r="Y45" s="67" t="n">
        <v>0</v>
      </c>
      <c r="Z45" s="67" t="n">
        <v>0</v>
      </c>
      <c r="AA45" s="67" t="n">
        <v>0</v>
      </c>
      <c r="AB45" s="67" t="n">
        <v>1</v>
      </c>
      <c r="AC45" s="67" t="n">
        <v>0</v>
      </c>
      <c r="AD45" s="67" t="n">
        <v>1</v>
      </c>
      <c r="AE45" s="92" t="n">
        <v>11</v>
      </c>
      <c r="AF45" s="64" t="n">
        <v>2</v>
      </c>
      <c r="AG45" s="67" t="n">
        <v>0</v>
      </c>
      <c r="AH45" s="67" t="n">
        <v>0</v>
      </c>
      <c r="AI45" s="67" t="n">
        <v>1</v>
      </c>
      <c r="AJ45" s="67" t="n">
        <v>1</v>
      </c>
      <c r="AK45" s="67" t="n">
        <v>0</v>
      </c>
      <c r="AL45" s="67" t="n">
        <v>0</v>
      </c>
      <c r="AM45" s="67" t="n">
        <v>0</v>
      </c>
      <c r="AN45" s="92" t="n">
        <v>1</v>
      </c>
      <c r="AO45" s="64" t="n">
        <v>1</v>
      </c>
      <c r="AP45" s="67" t="n">
        <v>0</v>
      </c>
      <c r="AQ45" s="67" t="n">
        <v>1</v>
      </c>
      <c r="AR45" s="67" t="n">
        <v>2</v>
      </c>
      <c r="AS45" s="61" t="n">
        <v>0</v>
      </c>
      <c r="AT45" s="92" t="n">
        <v>0</v>
      </c>
      <c r="AU45" s="64" t="n">
        <v>1</v>
      </c>
      <c r="AV45" s="92" t="n">
        <v>0</v>
      </c>
      <c r="AW45" s="123" t="n">
        <v>45</v>
      </c>
      <c r="AX45" s="65" t="s">
        <v>50</v>
      </c>
      <c r="AY45" s="127"/>
      <c r="AZ45" s="127"/>
      <c r="BA45" s="117" t="n">
        <f aca="false">SUM(A45:AV45)</f>
        <v>41</v>
      </c>
      <c r="BB45" s="74" t="n">
        <v>37</v>
      </c>
      <c r="BC45" s="122" t="s">
        <v>2224</v>
      </c>
      <c r="BD45" s="76" t="n">
        <v>0</v>
      </c>
      <c r="BE45" s="76" t="n">
        <f aca="false">_xlfn.RANK.EQ(BD45,$BD$9:$BD$48,0)</f>
        <v>1</v>
      </c>
    </row>
    <row r="46" customFormat="false" ht="18" hidden="false" customHeight="true" outlineLevel="0" collapsed="false">
      <c r="A46" s="105" t="n">
        <v>1</v>
      </c>
      <c r="B46" s="107" t="n">
        <v>1</v>
      </c>
      <c r="C46" s="107" t="n">
        <v>2</v>
      </c>
      <c r="D46" s="107" t="n">
        <v>1</v>
      </c>
      <c r="E46" s="107" t="n">
        <v>0</v>
      </c>
      <c r="F46" s="107" t="n">
        <v>0</v>
      </c>
      <c r="G46" s="107" t="n">
        <v>1</v>
      </c>
      <c r="H46" s="107" t="n">
        <v>1</v>
      </c>
      <c r="I46" s="107" t="n">
        <v>1</v>
      </c>
      <c r="J46" s="107" t="n">
        <v>0</v>
      </c>
      <c r="K46" s="108" t="n">
        <v>0</v>
      </c>
      <c r="L46" s="105" t="n">
        <v>1</v>
      </c>
      <c r="M46" s="107" t="n">
        <v>0</v>
      </c>
      <c r="N46" s="107" t="n">
        <v>0</v>
      </c>
      <c r="O46" s="107" t="n">
        <v>0</v>
      </c>
      <c r="P46" s="107" t="n">
        <v>1</v>
      </c>
      <c r="Q46" s="107" t="n">
        <v>1</v>
      </c>
      <c r="R46" s="107" t="n">
        <v>1</v>
      </c>
      <c r="S46" s="107" t="n">
        <v>0</v>
      </c>
      <c r="T46" s="107" t="n">
        <v>0</v>
      </c>
      <c r="U46" s="107" t="n">
        <v>1</v>
      </c>
      <c r="V46" s="107" t="n">
        <v>0</v>
      </c>
      <c r="W46" s="108" t="n">
        <v>0</v>
      </c>
      <c r="X46" s="105" t="n">
        <v>1</v>
      </c>
      <c r="Y46" s="107" t="n">
        <v>1</v>
      </c>
      <c r="Z46" s="107" t="n">
        <v>10</v>
      </c>
      <c r="AA46" s="107" t="n">
        <v>1</v>
      </c>
      <c r="AB46" s="107" t="n">
        <v>1</v>
      </c>
      <c r="AC46" s="107" t="n">
        <v>1</v>
      </c>
      <c r="AD46" s="107" t="n">
        <v>2</v>
      </c>
      <c r="AE46" s="108" t="n">
        <v>1</v>
      </c>
      <c r="AF46" s="105" t="n">
        <v>10</v>
      </c>
      <c r="AG46" s="107" t="n">
        <v>1</v>
      </c>
      <c r="AH46" s="107" t="n">
        <v>1</v>
      </c>
      <c r="AI46" s="107" t="n">
        <v>1</v>
      </c>
      <c r="AJ46" s="107" t="n">
        <v>1</v>
      </c>
      <c r="AK46" s="107" t="n">
        <v>0</v>
      </c>
      <c r="AL46" s="107" t="n">
        <v>0</v>
      </c>
      <c r="AM46" s="107" t="n">
        <v>0</v>
      </c>
      <c r="AN46" s="108" t="n">
        <v>11</v>
      </c>
      <c r="AO46" s="105" t="n">
        <v>0</v>
      </c>
      <c r="AP46" s="107" t="n">
        <v>0</v>
      </c>
      <c r="AQ46" s="107" t="n">
        <v>10</v>
      </c>
      <c r="AR46" s="107" t="n">
        <v>2</v>
      </c>
      <c r="AS46" s="107" t="n">
        <v>1</v>
      </c>
      <c r="AT46" s="98" t="n">
        <v>0</v>
      </c>
      <c r="AU46" s="105" t="n">
        <v>0</v>
      </c>
      <c r="AV46" s="108" t="n">
        <v>0</v>
      </c>
      <c r="AW46" s="105" t="n">
        <v>46</v>
      </c>
      <c r="AX46" s="129" t="s">
        <v>51</v>
      </c>
      <c r="AY46" s="127"/>
      <c r="AZ46" s="127"/>
      <c r="BA46" s="117" t="n">
        <f aca="false">SUM(A46:AV46)</f>
        <v>69</v>
      </c>
      <c r="BB46" s="74" t="n">
        <v>38</v>
      </c>
      <c r="BC46" s="122" t="s">
        <v>2272</v>
      </c>
      <c r="BD46" s="76" t="n">
        <v>0</v>
      </c>
      <c r="BE46" s="76" t="n">
        <f aca="false">_xlfn.RANK.EQ(BD46,$BD$9:$BD$48,0)</f>
        <v>1</v>
      </c>
    </row>
    <row r="47" customFormat="false" ht="18" hidden="false" customHeight="true" outlineLevel="0" collapsed="false">
      <c r="A47" s="56" t="n">
        <v>0</v>
      </c>
      <c r="B47" s="54" t="n">
        <v>1</v>
      </c>
      <c r="C47" s="54" t="n">
        <v>0</v>
      </c>
      <c r="D47" s="54" t="n">
        <v>0</v>
      </c>
      <c r="E47" s="54" t="n">
        <v>0</v>
      </c>
      <c r="F47" s="54" t="n">
        <v>0</v>
      </c>
      <c r="G47" s="54" t="n">
        <v>1</v>
      </c>
      <c r="H47" s="54" t="n">
        <v>0</v>
      </c>
      <c r="I47" s="54" t="n">
        <v>1</v>
      </c>
      <c r="J47" s="54" t="n">
        <v>0</v>
      </c>
      <c r="K47" s="55" t="n">
        <v>0</v>
      </c>
      <c r="L47" s="56" t="n">
        <v>0</v>
      </c>
      <c r="M47" s="54" t="n">
        <v>0</v>
      </c>
      <c r="N47" s="54" t="n">
        <v>1</v>
      </c>
      <c r="O47" s="54" t="n">
        <v>1</v>
      </c>
      <c r="P47" s="54" t="n">
        <v>0</v>
      </c>
      <c r="Q47" s="54" t="n">
        <v>0</v>
      </c>
      <c r="R47" s="54" t="n">
        <v>1</v>
      </c>
      <c r="S47" s="54" t="n">
        <v>1</v>
      </c>
      <c r="T47" s="54" t="n">
        <v>2</v>
      </c>
      <c r="U47" s="54" t="n">
        <v>0</v>
      </c>
      <c r="V47" s="112" t="n">
        <v>0</v>
      </c>
      <c r="W47" s="113" t="n">
        <v>0</v>
      </c>
      <c r="X47" s="110" t="n">
        <v>1</v>
      </c>
      <c r="Y47" s="112" t="n">
        <v>10</v>
      </c>
      <c r="Z47" s="112" t="n">
        <v>0</v>
      </c>
      <c r="AA47" s="112" t="n">
        <v>1</v>
      </c>
      <c r="AB47" s="112" t="n">
        <v>0</v>
      </c>
      <c r="AC47" s="112" t="n">
        <v>0</v>
      </c>
      <c r="AD47" s="112" t="n">
        <v>0</v>
      </c>
      <c r="AE47" s="113" t="n">
        <v>1</v>
      </c>
      <c r="AF47" s="110" t="n">
        <v>11</v>
      </c>
      <c r="AG47" s="112" t="n">
        <v>2</v>
      </c>
      <c r="AH47" s="112" t="n">
        <v>1</v>
      </c>
      <c r="AI47" s="112" t="n">
        <v>1</v>
      </c>
      <c r="AJ47" s="112" t="n">
        <v>2</v>
      </c>
      <c r="AK47" s="112" t="n">
        <v>10</v>
      </c>
      <c r="AL47" s="112" t="n">
        <v>1</v>
      </c>
      <c r="AM47" s="112" t="n">
        <v>0</v>
      </c>
      <c r="AN47" s="113" t="n">
        <v>0</v>
      </c>
      <c r="AO47" s="110" t="n">
        <v>0</v>
      </c>
      <c r="AP47" s="112" t="n">
        <v>0</v>
      </c>
      <c r="AQ47" s="112" t="n">
        <v>1</v>
      </c>
      <c r="AR47" s="112" t="n">
        <v>0</v>
      </c>
      <c r="AS47" s="112" t="n">
        <v>1</v>
      </c>
      <c r="AT47" s="113" t="n">
        <v>0</v>
      </c>
      <c r="AU47" s="53" t="n">
        <v>0</v>
      </c>
      <c r="AV47" s="113" t="n">
        <v>0</v>
      </c>
      <c r="AW47" s="126" t="n">
        <v>47</v>
      </c>
      <c r="AX47" s="52" t="s">
        <v>52</v>
      </c>
      <c r="AY47" s="130" t="s">
        <v>5</v>
      </c>
      <c r="AZ47" s="130"/>
      <c r="BA47" s="117" t="n">
        <f aca="false">SUM(A47:AV47)</f>
        <v>52</v>
      </c>
      <c r="BB47" s="74" t="n">
        <v>39</v>
      </c>
      <c r="BC47" s="122" t="s">
        <v>2321</v>
      </c>
      <c r="BD47" s="76" t="n">
        <v>0</v>
      </c>
      <c r="BE47" s="76" t="n">
        <f aca="false">_xlfn.RANK.EQ(BD47,$BD$9:$BD$48,0)</f>
        <v>1</v>
      </c>
    </row>
    <row r="48" customFormat="false" ht="18" hidden="false" customHeight="true" outlineLevel="0" collapsed="false">
      <c r="A48" s="105" t="n">
        <v>2</v>
      </c>
      <c r="B48" s="107" t="n">
        <v>2</v>
      </c>
      <c r="C48" s="107" t="n">
        <v>1</v>
      </c>
      <c r="D48" s="107" t="n">
        <v>0</v>
      </c>
      <c r="E48" s="107" t="n">
        <v>0</v>
      </c>
      <c r="F48" s="107" t="n">
        <v>0</v>
      </c>
      <c r="G48" s="107" t="n">
        <v>1</v>
      </c>
      <c r="H48" s="107" t="n">
        <v>0</v>
      </c>
      <c r="I48" s="107" t="n">
        <v>1</v>
      </c>
      <c r="J48" s="107" t="n">
        <v>1</v>
      </c>
      <c r="K48" s="108" t="n">
        <v>0</v>
      </c>
      <c r="L48" s="105" t="n">
        <v>0</v>
      </c>
      <c r="M48" s="107" t="n">
        <v>0</v>
      </c>
      <c r="N48" s="107" t="n">
        <v>0</v>
      </c>
      <c r="O48" s="107" t="n">
        <v>1</v>
      </c>
      <c r="P48" s="107" t="n">
        <v>0</v>
      </c>
      <c r="Q48" s="107" t="n">
        <v>0</v>
      </c>
      <c r="R48" s="107" t="n">
        <v>0</v>
      </c>
      <c r="S48" s="107" t="n">
        <v>0</v>
      </c>
      <c r="T48" s="107" t="n">
        <v>0</v>
      </c>
      <c r="U48" s="107" t="n">
        <v>2</v>
      </c>
      <c r="V48" s="107" t="n">
        <v>0</v>
      </c>
      <c r="W48" s="108" t="n">
        <v>1</v>
      </c>
      <c r="X48" s="105" t="n">
        <v>0</v>
      </c>
      <c r="Y48" s="107" t="n">
        <v>0</v>
      </c>
      <c r="Z48" s="107" t="n">
        <v>0</v>
      </c>
      <c r="AA48" s="107" t="n">
        <v>1</v>
      </c>
      <c r="AB48" s="107" t="n">
        <v>1</v>
      </c>
      <c r="AC48" s="107" t="n">
        <v>0</v>
      </c>
      <c r="AD48" s="107" t="n">
        <v>0</v>
      </c>
      <c r="AE48" s="108" t="n">
        <v>0</v>
      </c>
      <c r="AF48" s="105" t="n">
        <v>1</v>
      </c>
      <c r="AG48" s="107" t="n">
        <v>1</v>
      </c>
      <c r="AH48" s="107" t="n">
        <v>2</v>
      </c>
      <c r="AI48" s="107" t="n">
        <v>1</v>
      </c>
      <c r="AJ48" s="107" t="n">
        <v>1</v>
      </c>
      <c r="AK48" s="107" t="n">
        <v>0</v>
      </c>
      <c r="AL48" s="107" t="n">
        <v>10</v>
      </c>
      <c r="AM48" s="107" t="n">
        <v>0</v>
      </c>
      <c r="AN48" s="108" t="n">
        <v>0</v>
      </c>
      <c r="AO48" s="105" t="n">
        <v>1</v>
      </c>
      <c r="AP48" s="107" t="n">
        <v>1</v>
      </c>
      <c r="AQ48" s="107" t="n">
        <v>1</v>
      </c>
      <c r="AR48" s="107" t="n">
        <v>0</v>
      </c>
      <c r="AS48" s="107" t="n">
        <v>1</v>
      </c>
      <c r="AT48" s="108" t="n">
        <v>1</v>
      </c>
      <c r="AU48" s="105" t="n">
        <v>1</v>
      </c>
      <c r="AV48" s="98" t="n">
        <v>0</v>
      </c>
      <c r="AW48" s="105" t="n">
        <v>48</v>
      </c>
      <c r="AX48" s="129" t="s">
        <v>53</v>
      </c>
      <c r="AY48" s="130"/>
      <c r="AZ48" s="130"/>
      <c r="BA48" s="117" t="n">
        <f aca="false">SUM(A48:AV48)</f>
        <v>36</v>
      </c>
      <c r="BB48" s="74" t="n">
        <v>40</v>
      </c>
      <c r="BC48" s="122" t="s">
        <v>2369</v>
      </c>
      <c r="BD48" s="76" t="n">
        <v>0</v>
      </c>
      <c r="BE48" s="76" t="n">
        <f aca="false">_xlfn.RANK.EQ(BD48,$BD$9:$BD$48,0)</f>
        <v>1</v>
      </c>
    </row>
    <row r="49" customFormat="false" ht="18" hidden="false" customHeight="true" outlineLevel="0" collapsed="false">
      <c r="A49" s="110" t="n">
        <v>1</v>
      </c>
      <c r="B49" s="90" t="n">
        <v>2</v>
      </c>
      <c r="C49" s="112" t="n">
        <v>3</v>
      </c>
      <c r="D49" s="90" t="n">
        <v>4</v>
      </c>
      <c r="E49" s="112" t="n">
        <v>5</v>
      </c>
      <c r="F49" s="90" t="n">
        <v>6</v>
      </c>
      <c r="G49" s="112" t="n">
        <v>7</v>
      </c>
      <c r="H49" s="90" t="n">
        <v>8</v>
      </c>
      <c r="I49" s="112" t="n">
        <v>9</v>
      </c>
      <c r="J49" s="90" t="n">
        <v>10</v>
      </c>
      <c r="K49" s="113" t="n">
        <v>11</v>
      </c>
      <c r="L49" s="88" t="n">
        <v>12</v>
      </c>
      <c r="M49" s="54" t="n">
        <v>13</v>
      </c>
      <c r="N49" s="90" t="n">
        <v>14</v>
      </c>
      <c r="O49" s="54" t="n">
        <v>15</v>
      </c>
      <c r="P49" s="90" t="n">
        <v>16</v>
      </c>
      <c r="Q49" s="54" t="n">
        <v>17</v>
      </c>
      <c r="R49" s="90" t="n">
        <v>18</v>
      </c>
      <c r="S49" s="54" t="n">
        <v>19</v>
      </c>
      <c r="T49" s="90" t="n">
        <v>20</v>
      </c>
      <c r="U49" s="131" t="n">
        <v>21</v>
      </c>
      <c r="V49" s="90" t="n">
        <v>22</v>
      </c>
      <c r="W49" s="55" t="n">
        <v>23</v>
      </c>
      <c r="X49" s="88" t="n">
        <v>24</v>
      </c>
      <c r="Y49" s="132" t="n">
        <v>25</v>
      </c>
      <c r="Z49" s="90" t="n">
        <v>26</v>
      </c>
      <c r="AA49" s="132" t="n">
        <v>27</v>
      </c>
      <c r="AB49" s="90" t="n">
        <v>28</v>
      </c>
      <c r="AC49" s="132" t="n">
        <v>29</v>
      </c>
      <c r="AD49" s="131" t="n">
        <v>30</v>
      </c>
      <c r="AE49" s="111" t="n">
        <v>31</v>
      </c>
      <c r="AF49" s="88" t="n">
        <v>32</v>
      </c>
      <c r="AG49" s="132" t="n">
        <v>33</v>
      </c>
      <c r="AH49" s="131" t="n">
        <v>34</v>
      </c>
      <c r="AI49" s="132" t="n">
        <v>35</v>
      </c>
      <c r="AJ49" s="90" t="n">
        <v>36</v>
      </c>
      <c r="AK49" s="132" t="n">
        <v>37</v>
      </c>
      <c r="AL49" s="90" t="n">
        <v>38</v>
      </c>
      <c r="AM49" s="132" t="n">
        <v>39</v>
      </c>
      <c r="AN49" s="91" t="n">
        <v>40</v>
      </c>
      <c r="AO49" s="126" t="n">
        <v>41</v>
      </c>
      <c r="AP49" s="90" t="n">
        <v>42</v>
      </c>
      <c r="AQ49" s="132" t="n">
        <v>43</v>
      </c>
      <c r="AR49" s="90" t="n">
        <v>44</v>
      </c>
      <c r="AS49" s="132" t="n">
        <v>45</v>
      </c>
      <c r="AT49" s="91" t="n">
        <v>46</v>
      </c>
      <c r="AU49" s="126" t="n">
        <v>47</v>
      </c>
      <c r="AV49" s="91" t="n">
        <v>48</v>
      </c>
      <c r="AW49" s="133"/>
      <c r="AX49" s="133"/>
      <c r="AY49" s="134"/>
      <c r="AZ49" s="134"/>
      <c r="BA49" s="57"/>
      <c r="BB49" s="135"/>
      <c r="BC49" s="136"/>
      <c r="BD49" s="76"/>
      <c r="BE49" s="76"/>
    </row>
    <row r="50" customFormat="false" ht="73.5" hidden="false" customHeight="true" outlineLevel="0" collapsed="false">
      <c r="A50" s="137" t="s">
        <v>6</v>
      </c>
      <c r="B50" s="138" t="s">
        <v>7</v>
      </c>
      <c r="C50" s="139" t="s">
        <v>8</v>
      </c>
      <c r="D50" s="138" t="s">
        <v>9</v>
      </c>
      <c r="E50" s="139" t="s">
        <v>10</v>
      </c>
      <c r="F50" s="138" t="s">
        <v>11</v>
      </c>
      <c r="G50" s="139" t="s">
        <v>12</v>
      </c>
      <c r="H50" s="138" t="s">
        <v>13</v>
      </c>
      <c r="I50" s="139" t="s">
        <v>14</v>
      </c>
      <c r="J50" s="138" t="s">
        <v>15</v>
      </c>
      <c r="K50" s="140" t="s">
        <v>16</v>
      </c>
      <c r="L50" s="141" t="s">
        <v>17</v>
      </c>
      <c r="M50" s="139" t="s">
        <v>18</v>
      </c>
      <c r="N50" s="142" t="s">
        <v>19</v>
      </c>
      <c r="O50" s="139" t="s">
        <v>20</v>
      </c>
      <c r="P50" s="142" t="s">
        <v>21</v>
      </c>
      <c r="Q50" s="143" t="s">
        <v>22</v>
      </c>
      <c r="R50" s="138" t="s">
        <v>23</v>
      </c>
      <c r="S50" s="139" t="s">
        <v>24</v>
      </c>
      <c r="T50" s="138" t="s">
        <v>25</v>
      </c>
      <c r="U50" s="139" t="s">
        <v>26</v>
      </c>
      <c r="V50" s="138" t="s">
        <v>27</v>
      </c>
      <c r="W50" s="140" t="s">
        <v>28</v>
      </c>
      <c r="X50" s="141" t="s">
        <v>29</v>
      </c>
      <c r="Y50" s="139" t="s">
        <v>30</v>
      </c>
      <c r="Z50" s="138" t="s">
        <v>31</v>
      </c>
      <c r="AA50" s="139" t="s">
        <v>32</v>
      </c>
      <c r="AB50" s="138" t="s">
        <v>33</v>
      </c>
      <c r="AC50" s="139" t="s">
        <v>34</v>
      </c>
      <c r="AD50" s="138" t="s">
        <v>35</v>
      </c>
      <c r="AE50" s="144" t="s">
        <v>36</v>
      </c>
      <c r="AF50" s="145" t="s">
        <v>37</v>
      </c>
      <c r="AG50" s="139" t="s">
        <v>38</v>
      </c>
      <c r="AH50" s="138" t="s">
        <v>39</v>
      </c>
      <c r="AI50" s="139" t="s">
        <v>40</v>
      </c>
      <c r="AJ50" s="142" t="s">
        <v>41</v>
      </c>
      <c r="AK50" s="139" t="s">
        <v>42</v>
      </c>
      <c r="AL50" s="138" t="s">
        <v>43</v>
      </c>
      <c r="AM50" s="146" t="s">
        <v>44</v>
      </c>
      <c r="AN50" s="147" t="s">
        <v>45</v>
      </c>
      <c r="AO50" s="137" t="s">
        <v>46</v>
      </c>
      <c r="AP50" s="138" t="s">
        <v>47</v>
      </c>
      <c r="AQ50" s="139" t="s">
        <v>48</v>
      </c>
      <c r="AR50" s="138" t="s">
        <v>49</v>
      </c>
      <c r="AS50" s="139" t="s">
        <v>50</v>
      </c>
      <c r="AT50" s="148" t="s">
        <v>51</v>
      </c>
      <c r="AU50" s="137" t="s">
        <v>52</v>
      </c>
      <c r="AV50" s="148" t="s">
        <v>53</v>
      </c>
      <c r="AW50" s="133"/>
      <c r="AX50" s="133"/>
      <c r="AY50" s="134"/>
      <c r="AZ50" s="134"/>
      <c r="BA50" s="57"/>
      <c r="BB50" s="135"/>
      <c r="BC50" s="136"/>
      <c r="BD50" s="76"/>
      <c r="BE50" s="76"/>
    </row>
    <row r="51" customFormat="false" ht="15" hidden="false" customHeight="true" outlineLevel="0" collapsed="false">
      <c r="A51" s="149" t="s">
        <v>0</v>
      </c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50" t="s">
        <v>1</v>
      </c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1" t="s">
        <v>2</v>
      </c>
      <c r="Y51" s="151"/>
      <c r="Z51" s="151"/>
      <c r="AA51" s="151"/>
      <c r="AB51" s="151"/>
      <c r="AC51" s="151"/>
      <c r="AD51" s="151"/>
      <c r="AE51" s="151"/>
      <c r="AF51" s="152" t="s">
        <v>3</v>
      </c>
      <c r="AG51" s="152"/>
      <c r="AH51" s="152"/>
      <c r="AI51" s="152"/>
      <c r="AJ51" s="152"/>
      <c r="AK51" s="152"/>
      <c r="AL51" s="152"/>
      <c r="AM51" s="152"/>
      <c r="AN51" s="152"/>
      <c r="AO51" s="153" t="s">
        <v>4</v>
      </c>
      <c r="AP51" s="153"/>
      <c r="AQ51" s="153"/>
      <c r="AR51" s="153"/>
      <c r="AS51" s="153"/>
      <c r="AT51" s="153"/>
      <c r="AU51" s="154" t="s">
        <v>5</v>
      </c>
      <c r="AV51" s="154"/>
      <c r="AW51" s="133"/>
      <c r="AX51" s="133"/>
      <c r="AY51" s="134"/>
      <c r="AZ51" s="134"/>
      <c r="BA51" s="57"/>
      <c r="BB51" s="135"/>
      <c r="BC51" s="136"/>
      <c r="BD51" s="76"/>
      <c r="BE51" s="76"/>
    </row>
    <row r="52" customFormat="false" ht="15" hidden="false" customHeight="true" outlineLevel="0" collapsed="false">
      <c r="A52" s="149"/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1"/>
      <c r="Y52" s="151"/>
      <c r="Z52" s="151"/>
      <c r="AA52" s="151"/>
      <c r="AB52" s="151"/>
      <c r="AC52" s="151"/>
      <c r="AD52" s="151"/>
      <c r="AE52" s="151"/>
      <c r="AF52" s="152"/>
      <c r="AG52" s="152"/>
      <c r="AH52" s="152"/>
      <c r="AI52" s="152"/>
      <c r="AJ52" s="152"/>
      <c r="AK52" s="152"/>
      <c r="AL52" s="152"/>
      <c r="AM52" s="152"/>
      <c r="AN52" s="152"/>
      <c r="AO52" s="153"/>
      <c r="AP52" s="153"/>
      <c r="AQ52" s="153"/>
      <c r="AR52" s="153"/>
      <c r="AS52" s="153"/>
      <c r="AT52" s="153"/>
      <c r="AU52" s="154"/>
      <c r="AV52" s="154"/>
      <c r="AW52" s="133"/>
      <c r="AX52" s="133"/>
      <c r="AY52" s="134"/>
      <c r="AZ52" s="134"/>
      <c r="BA52" s="57"/>
      <c r="BB52" s="135"/>
      <c r="BC52" s="136"/>
      <c r="BD52" s="76"/>
      <c r="BE52" s="76"/>
    </row>
    <row r="53" customFormat="false" ht="12.75" hidden="false" customHeight="false" outlineLevel="0" collapsed="false">
      <c r="A53" s="57" t="n">
        <f aca="false">SUM(A1:A48)</f>
        <v>47</v>
      </c>
      <c r="B53" s="57" t="n">
        <f aca="false">SUM(B1:B48)</f>
        <v>74</v>
      </c>
      <c r="C53" s="57" t="n">
        <f aca="false">SUM(C1:C48)</f>
        <v>101</v>
      </c>
      <c r="D53" s="57" t="n">
        <f aca="false">SUM(D1:D48)</f>
        <v>49</v>
      </c>
      <c r="E53" s="57" t="n">
        <f aca="false">SUM(E1:E48)</f>
        <v>111</v>
      </c>
      <c r="F53" s="57" t="n">
        <f aca="false">SUM(F1:F48)</f>
        <v>42</v>
      </c>
      <c r="G53" s="57" t="n">
        <f aca="false">SUM(G1:G48)</f>
        <v>71</v>
      </c>
      <c r="H53" s="57" t="n">
        <f aca="false">SUM(H1:H48)</f>
        <v>53</v>
      </c>
      <c r="I53" s="57" t="n">
        <f aca="false">SUM(I1:I48)</f>
        <v>90</v>
      </c>
      <c r="J53" s="57" t="n">
        <f aca="false">SUM(J1:J48)</f>
        <v>41</v>
      </c>
      <c r="K53" s="57" t="n">
        <f aca="false">SUM(K1:K48)</f>
        <v>25</v>
      </c>
      <c r="L53" s="57" t="n">
        <f aca="false">SUM(L1:L48)</f>
        <v>59</v>
      </c>
      <c r="M53" s="57" t="n">
        <f aca="false">SUM(M1:M48)</f>
        <v>72</v>
      </c>
      <c r="N53" s="57" t="n">
        <f aca="false">SUM(N1:N48)</f>
        <v>91</v>
      </c>
      <c r="O53" s="57" t="n">
        <f aca="false">SUM(O1:O48)</f>
        <v>76</v>
      </c>
      <c r="P53" s="57" t="n">
        <f aca="false">SUM(P1:P48)</f>
        <v>74</v>
      </c>
      <c r="Q53" s="57" t="n">
        <f aca="false">SUM(Q1:Q48)</f>
        <v>104</v>
      </c>
      <c r="R53" s="57" t="n">
        <f aca="false">SUM(R1:R48)</f>
        <v>81</v>
      </c>
      <c r="S53" s="57" t="n">
        <f aca="false">SUM(S1:S48)</f>
        <v>125</v>
      </c>
      <c r="T53" s="57" t="n">
        <f aca="false">SUM(T1:T48)</f>
        <v>38</v>
      </c>
      <c r="U53" s="57" t="n">
        <f aca="false">SUM(U1:U48)</f>
        <v>91</v>
      </c>
      <c r="V53" s="57" t="n">
        <f aca="false">SUM(V1:V48)</f>
        <v>32</v>
      </c>
      <c r="W53" s="57" t="n">
        <f aca="false">SUM(W1:W48)</f>
        <v>81</v>
      </c>
      <c r="X53" s="57" t="n">
        <f aca="false">SUM(X1:X48)</f>
        <v>124</v>
      </c>
      <c r="Y53" s="57" t="n">
        <f aca="false">SUM(Y1:Y48)</f>
        <v>56</v>
      </c>
      <c r="Z53" s="57" t="n">
        <f aca="false">SUM(Z1:Z48)</f>
        <v>64</v>
      </c>
      <c r="AA53" s="57" t="n">
        <f aca="false">SUM(AA1:AA48)</f>
        <v>67</v>
      </c>
      <c r="AB53" s="57" t="n">
        <f aca="false">SUM(AB1:AB48)</f>
        <v>46</v>
      </c>
      <c r="AC53" s="57" t="n">
        <f aca="false">SUM(AC1:AC48)</f>
        <v>18</v>
      </c>
      <c r="AD53" s="57" t="n">
        <f aca="false">SUM(AD1:AD48)</f>
        <v>170</v>
      </c>
      <c r="AE53" s="57" t="n">
        <f aca="false">SUM(AE1:AE48)</f>
        <v>71</v>
      </c>
      <c r="AF53" s="57" t="n">
        <f aca="false">SUM(AF1:AF48)</f>
        <v>241</v>
      </c>
      <c r="AG53" s="57" t="n">
        <f aca="false">SUM(AG1:AG48)</f>
        <v>89</v>
      </c>
      <c r="AH53" s="57" t="n">
        <f aca="false">SUM(AH1:AH48)</f>
        <v>104</v>
      </c>
      <c r="AI53" s="57" t="n">
        <f aca="false">SUM(AI1:AI48)</f>
        <v>47</v>
      </c>
      <c r="AJ53" s="57" t="n">
        <f aca="false">SUM(AJ1:AJ48)</f>
        <v>149</v>
      </c>
      <c r="AK53" s="57" t="n">
        <f aca="false">SUM(AK1:AK48)</f>
        <v>72</v>
      </c>
      <c r="AL53" s="57" t="n">
        <f aca="false">SUM(AL1:AL48)</f>
        <v>67</v>
      </c>
      <c r="AM53" s="57" t="n">
        <f aca="false">SUM(AM1:AM48)</f>
        <v>12</v>
      </c>
      <c r="AN53" s="57" t="n">
        <f aca="false">SUM(AN1:AN48)</f>
        <v>87</v>
      </c>
      <c r="AO53" s="57" t="n">
        <f aca="false">SUM(AO1:AO48)</f>
        <v>95</v>
      </c>
      <c r="AP53" s="57" t="n">
        <f aca="false">SUM(AP1:AP48)</f>
        <v>60</v>
      </c>
      <c r="AQ53" s="57" t="n">
        <f aca="false">SUM(AQ1:AQ48)</f>
        <v>92</v>
      </c>
      <c r="AR53" s="57" t="n">
        <f aca="false">SUM(AR1:AR48)</f>
        <v>116</v>
      </c>
      <c r="AS53" s="57" t="n">
        <f aca="false">SUM(AS1:AS48)</f>
        <v>73</v>
      </c>
      <c r="AT53" s="57" t="n">
        <f aca="false">SUM(AT1:AT48)</f>
        <v>73</v>
      </c>
      <c r="AU53" s="57" t="n">
        <f aca="false">SUM(AU1:AU48)</f>
        <v>34</v>
      </c>
      <c r="AV53" s="57" t="n">
        <f aca="false">SUM(AV1:AV48)</f>
        <v>33</v>
      </c>
      <c r="AW53" s="57"/>
      <c r="AX53" s="155"/>
      <c r="AY53" s="57"/>
      <c r="AZ53" s="57"/>
    </row>
    <row r="54" customFormat="false" ht="3" hidden="false" customHeight="true" outlineLevel="0" collapsed="false"/>
    <row r="55" customFormat="false" ht="11.25" hidden="false" customHeight="true" outlineLevel="0" collapsed="false">
      <c r="A55" s="1" t="s">
        <v>2370</v>
      </c>
      <c r="C55" s="1" t="s">
        <v>2371</v>
      </c>
      <c r="G55" s="1" t="s">
        <v>2372</v>
      </c>
      <c r="W55" s="1" t="s">
        <v>2373</v>
      </c>
      <c r="AB55" s="1" t="s">
        <v>2374</v>
      </c>
      <c r="BB55" s="116" t="s">
        <v>2375</v>
      </c>
      <c r="BC55" s="116"/>
    </row>
  </sheetData>
  <mergeCells count="14">
    <mergeCell ref="AY1:AZ11"/>
    <mergeCell ref="BB8:BC8"/>
    <mergeCell ref="AY12:AZ23"/>
    <mergeCell ref="AY24:AZ31"/>
    <mergeCell ref="AY32:AZ40"/>
    <mergeCell ref="AY41:AZ46"/>
    <mergeCell ref="AY47:AZ48"/>
    <mergeCell ref="A51:K52"/>
    <mergeCell ref="L51:W52"/>
    <mergeCell ref="X51:AE52"/>
    <mergeCell ref="AF51:AN52"/>
    <mergeCell ref="AO51:AT52"/>
    <mergeCell ref="AU51:AV52"/>
    <mergeCell ref="BB55:BC55"/>
  </mergeCells>
  <conditionalFormatting sqref="A1:AV48">
    <cfRule type="colorScale" priority="2">
      <colorScale>
        <cfvo type="min" val="0"/>
        <cfvo type="percentile" val="50"/>
        <cfvo type="max" val="0"/>
        <color rgb="FF0000FF"/>
        <color rgb="FFFFFF00"/>
        <color rgb="FFFF0000"/>
      </colorScale>
    </cfRule>
  </conditionalFormatting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52</xdr:col>
                    <xdr:colOff>251640</xdr:colOff>
                    <xdr:row>48</xdr:row>
                    <xdr:rowOff>76320</xdr:rowOff>
                  </from>
                  <to>
                    <xdr:col>54</xdr:col>
                    <xdr:colOff>1981440</xdr:colOff>
                    <xdr:row>51</xdr:row>
                    <xdr:rowOff>145080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6B9B8"/>
    <pageSetUpPr fitToPage="false"/>
  </sheetPr>
  <dimension ref="A1:P4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2" activeCellId="0" sqref="D12"/>
    </sheetView>
  </sheetViews>
  <sheetFormatPr defaultColWidth="10.54296875" defaultRowHeight="17.25" zeroHeight="false" outlineLevelRow="0" outlineLevelCol="0"/>
  <cols>
    <col collapsed="false" customWidth="true" hidden="false" outlineLevel="0" max="4" min="4" style="0" width="11.43"/>
  </cols>
  <sheetData>
    <row r="1" customFormat="false" ht="17.25" hidden="false" customHeight="true" outlineLevel="0" collapsed="false">
      <c r="A1" s="156" t="s">
        <v>2377</v>
      </c>
      <c r="B1" s="157" t="s">
        <v>2378</v>
      </c>
      <c r="C1" s="158" t="s">
        <v>2379</v>
      </c>
      <c r="D1" s="158" t="s">
        <v>2379</v>
      </c>
    </row>
    <row r="2" customFormat="false" ht="17.25" hidden="false" customHeight="true" outlineLevel="0" collapsed="false">
      <c r="A2" s="159" t="n">
        <v>1</v>
      </c>
      <c r="B2" s="160" t="n">
        <v>3</v>
      </c>
      <c r="C2" s="161" t="n">
        <v>10</v>
      </c>
      <c r="D2" s="161" t="n">
        <v>1</v>
      </c>
    </row>
    <row r="3" customFormat="false" ht="17.25" hidden="false" customHeight="true" outlineLevel="0" collapsed="false">
      <c r="A3" s="159" t="n">
        <v>2</v>
      </c>
      <c r="B3" s="160" t="n">
        <v>46</v>
      </c>
      <c r="C3" s="161" t="n">
        <v>1</v>
      </c>
      <c r="D3" s="161" t="n">
        <v>1</v>
      </c>
    </row>
    <row r="4" customFormat="false" ht="17.25" hidden="false" customHeight="true" outlineLevel="0" collapsed="false">
      <c r="A4" s="159" t="n">
        <v>3</v>
      </c>
      <c r="B4" s="160" t="n">
        <v>45</v>
      </c>
      <c r="C4" s="161" t="n">
        <v>1</v>
      </c>
      <c r="D4" s="161" t="n">
        <v>1</v>
      </c>
    </row>
    <row r="5" customFormat="false" ht="17.25" hidden="false" customHeight="true" outlineLevel="0" collapsed="false">
      <c r="A5" s="159" t="n">
        <v>4</v>
      </c>
      <c r="B5" s="160" t="n">
        <v>44</v>
      </c>
      <c r="C5" s="161" t="n">
        <v>1</v>
      </c>
      <c r="D5" s="161" t="n">
        <v>1</v>
      </c>
    </row>
    <row r="6" customFormat="false" ht="17.25" hidden="false" customHeight="true" outlineLevel="0" collapsed="false">
      <c r="A6" s="159" t="n">
        <v>5</v>
      </c>
      <c r="B6" s="160" t="n">
        <v>36</v>
      </c>
      <c r="C6" s="161" t="n">
        <v>1</v>
      </c>
      <c r="D6" s="161" t="n">
        <v>1</v>
      </c>
    </row>
    <row r="7" customFormat="false" ht="17.25" hidden="false" customHeight="true" outlineLevel="0" collapsed="false">
      <c r="A7" s="159" t="n">
        <v>6</v>
      </c>
      <c r="B7" s="160" t="n">
        <v>19</v>
      </c>
      <c r="C7" s="161" t="n">
        <v>1</v>
      </c>
      <c r="D7" s="161" t="n">
        <v>1</v>
      </c>
    </row>
    <row r="8" customFormat="false" ht="17.25" hidden="false" customHeight="true" outlineLevel="0" collapsed="false">
      <c r="A8" s="159" t="n">
        <v>7</v>
      </c>
      <c r="B8" s="160" t="n">
        <v>20</v>
      </c>
      <c r="C8" s="161" t="n">
        <v>1</v>
      </c>
      <c r="D8" s="161" t="n">
        <v>0</v>
      </c>
    </row>
    <row r="9" customFormat="false" ht="17.25" hidden="false" customHeight="true" outlineLevel="0" collapsed="false">
      <c r="A9" s="159" t="n">
        <v>8</v>
      </c>
      <c r="B9" s="160" t="n">
        <v>37</v>
      </c>
      <c r="C9" s="161" t="n">
        <v>1</v>
      </c>
      <c r="D9" s="161" t="n">
        <v>0</v>
      </c>
    </row>
    <row r="10" customFormat="false" ht="17.25" hidden="false" customHeight="true" outlineLevel="0" collapsed="false">
      <c r="A10" s="159" t="n">
        <v>9</v>
      </c>
      <c r="B10" s="160" t="n">
        <v>33</v>
      </c>
      <c r="C10" s="161" t="n">
        <v>1</v>
      </c>
      <c r="D10" s="161" t="n">
        <v>0</v>
      </c>
    </row>
    <row r="11" customFormat="false" ht="17.25" hidden="false" customHeight="true" outlineLevel="0" collapsed="false">
      <c r="A11" s="162" t="n">
        <v>10</v>
      </c>
      <c r="B11" s="163" t="n">
        <v>41</v>
      </c>
      <c r="C11" s="164" t="n">
        <v>1</v>
      </c>
      <c r="D11" s="164" t="n">
        <v>0</v>
      </c>
    </row>
    <row r="12" customFormat="false" ht="17.25" hidden="false" customHeight="true" outlineLevel="0" collapsed="false">
      <c r="A12" s="165"/>
      <c r="B12" s="165"/>
    </row>
    <row r="13" customFormat="false" ht="17.25" hidden="false" customHeight="true" outlineLevel="0" collapsed="false">
      <c r="A13" s="166" t="s">
        <v>2380</v>
      </c>
      <c r="B13" s="166"/>
      <c r="C13" s="166"/>
    </row>
    <row r="14" customFormat="false" ht="17.25" hidden="false" customHeight="true" outlineLevel="0" collapsed="false">
      <c r="A14" s="167" t="s">
        <v>2381</v>
      </c>
      <c r="B14" s="168" t="s">
        <v>2382</v>
      </c>
      <c r="C14" s="169" t="s">
        <v>2383</v>
      </c>
    </row>
    <row r="15" customFormat="false" ht="17.25" hidden="false" customHeight="true" outlineLevel="0" collapsed="false">
      <c r="A15" s="170" t="n">
        <v>90</v>
      </c>
      <c r="B15" s="171" t="n">
        <v>80</v>
      </c>
      <c r="C15" s="172" t="n">
        <v>70</v>
      </c>
    </row>
    <row r="16" customFormat="false" ht="17.25" hidden="false" customHeight="true" outlineLevel="0" collapsed="false">
      <c r="A16" s="173" t="s">
        <v>2384</v>
      </c>
      <c r="B16" s="173"/>
      <c r="C16" s="173"/>
    </row>
    <row r="17" customFormat="false" ht="17.25" hidden="false" customHeight="true" outlineLevel="0" collapsed="false">
      <c r="A17" s="167" t="s">
        <v>2381</v>
      </c>
      <c r="B17" s="168" t="s">
        <v>2382</v>
      </c>
      <c r="C17" s="169" t="s">
        <v>2383</v>
      </c>
    </row>
    <row r="18" customFormat="false" ht="17.25" hidden="false" customHeight="true" outlineLevel="0" collapsed="false">
      <c r="A18" s="170" t="n">
        <v>95</v>
      </c>
      <c r="B18" s="171" t="n">
        <v>85</v>
      </c>
      <c r="C18" s="172" t="n">
        <v>60</v>
      </c>
    </row>
    <row r="20" customFormat="false" ht="17.25" hidden="false" customHeight="true" outlineLevel="0" collapsed="false">
      <c r="A20" s="174" t="s">
        <v>2385</v>
      </c>
      <c r="B20" s="175" t="n">
        <v>50</v>
      </c>
    </row>
    <row r="21" customFormat="false" ht="17.25" hidden="false" customHeight="true" outlineLevel="0" collapsed="false">
      <c r="A21" s="176"/>
      <c r="B21" s="176"/>
      <c r="C21" s="176"/>
      <c r="D21" s="176"/>
      <c r="E21" s="176"/>
      <c r="F21" s="176"/>
      <c r="G21" s="176"/>
      <c r="H21" s="176"/>
      <c r="I21" s="176"/>
      <c r="J21" s="176"/>
      <c r="K21" s="176"/>
      <c r="L21" s="176"/>
      <c r="M21" s="176"/>
      <c r="N21" s="176"/>
      <c r="O21" s="176"/>
      <c r="P21" s="176"/>
    </row>
    <row r="22" customFormat="false" ht="17.25" hidden="false" customHeight="true" outlineLevel="0" collapsed="false">
      <c r="A22" s="177" t="n">
        <v>1</v>
      </c>
      <c r="B22" s="178" t="n">
        <v>2</v>
      </c>
      <c r="C22" s="179" t="n">
        <v>3</v>
      </c>
      <c r="D22" s="180" t="n">
        <v>4</v>
      </c>
      <c r="E22" s="181" t="n">
        <v>5</v>
      </c>
      <c r="F22" s="182" t="n">
        <v>6</v>
      </c>
      <c r="G22" s="183" t="n">
        <v>7</v>
      </c>
      <c r="H22" s="184" t="n">
        <v>8</v>
      </c>
      <c r="I22" s="185" t="n">
        <v>9</v>
      </c>
      <c r="J22" s="186" t="n">
        <v>10</v>
      </c>
      <c r="K22" s="187" t="n">
        <v>11</v>
      </c>
      <c r="L22" s="188" t="n">
        <v>12</v>
      </c>
      <c r="M22" s="185" t="n">
        <v>13</v>
      </c>
      <c r="N22" s="186" t="n">
        <v>14</v>
      </c>
      <c r="O22" s="189" t="n">
        <v>15</v>
      </c>
      <c r="P22" s="176"/>
    </row>
    <row r="23" customFormat="false" ht="17.25" hidden="false" customHeight="true" outlineLevel="0" collapsed="false">
      <c r="A23" s="190" t="n">
        <v>16</v>
      </c>
      <c r="B23" s="191" t="n">
        <v>17</v>
      </c>
      <c r="C23" s="192" t="n">
        <v>18</v>
      </c>
      <c r="D23" s="193" t="n">
        <v>19</v>
      </c>
      <c r="E23" s="194" t="n">
        <v>20</v>
      </c>
      <c r="F23" s="195" t="n">
        <v>21</v>
      </c>
      <c r="G23" s="196" t="n">
        <v>22</v>
      </c>
      <c r="H23" s="186" t="n">
        <v>23</v>
      </c>
      <c r="I23" s="197" t="n">
        <v>24</v>
      </c>
      <c r="J23" s="187" t="n">
        <v>25</v>
      </c>
      <c r="K23" s="183" t="n">
        <v>26</v>
      </c>
      <c r="L23" s="182" t="n">
        <v>27</v>
      </c>
      <c r="M23" s="184" t="n">
        <v>28</v>
      </c>
      <c r="N23" s="185" t="n">
        <v>29</v>
      </c>
      <c r="O23" s="185" t="n">
        <v>30</v>
      </c>
      <c r="P23" s="176"/>
    </row>
    <row r="24" customFormat="false" ht="17.25" hidden="false" customHeight="true" outlineLevel="0" collapsed="false">
      <c r="A24" s="186" t="n">
        <v>31</v>
      </c>
      <c r="B24" s="181" t="n">
        <v>32</v>
      </c>
      <c r="C24" s="198" t="n">
        <v>33</v>
      </c>
      <c r="D24" s="194" t="n">
        <v>34</v>
      </c>
      <c r="E24" s="199" t="n">
        <v>35</v>
      </c>
      <c r="F24" s="200" t="n">
        <v>36</v>
      </c>
      <c r="G24" s="201" t="n">
        <v>37</v>
      </c>
      <c r="H24" s="202" t="n">
        <v>38</v>
      </c>
      <c r="I24" s="203" t="n">
        <v>39</v>
      </c>
      <c r="J24" s="204" t="n">
        <v>40</v>
      </c>
      <c r="K24" s="205" t="n">
        <v>41</v>
      </c>
      <c r="L24" s="206" t="n">
        <v>42</v>
      </c>
      <c r="M24" s="207" t="n">
        <v>43</v>
      </c>
      <c r="N24" s="208" t="n">
        <v>44</v>
      </c>
      <c r="O24" s="209" t="n">
        <v>45</v>
      </c>
      <c r="P24" s="176"/>
    </row>
    <row r="25" customFormat="false" ht="17.25" hidden="false" customHeight="true" outlineLevel="0" collapsed="false">
      <c r="A25" s="210" t="n">
        <v>46</v>
      </c>
      <c r="B25" s="205" t="n">
        <v>47</v>
      </c>
      <c r="C25" s="211" t="n">
        <v>48</v>
      </c>
      <c r="D25" s="212" t="n">
        <v>49</v>
      </c>
      <c r="E25" s="213" t="n">
        <v>50</v>
      </c>
      <c r="F25" s="214" t="n">
        <v>51</v>
      </c>
      <c r="G25" s="214" t="n">
        <v>52</v>
      </c>
      <c r="H25" s="185" t="n">
        <v>53</v>
      </c>
      <c r="I25" s="192" t="n">
        <v>54</v>
      </c>
      <c r="J25" s="215" t="n">
        <v>55</v>
      </c>
      <c r="K25" s="212" t="n">
        <v>56</v>
      </c>
      <c r="L25" s="176"/>
      <c r="M25" s="176"/>
      <c r="N25" s="176"/>
      <c r="O25" s="176"/>
      <c r="P25" s="176"/>
    </row>
    <row r="26" customFormat="false" ht="17.25" hidden="false" customHeight="true" outlineLevel="0" collapsed="false">
      <c r="A26" s="176"/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</row>
    <row r="27" customFormat="false" ht="17.25" hidden="false" customHeight="true" outlineLevel="0" collapsed="false">
      <c r="A27" s="176"/>
      <c r="B27" s="176"/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</row>
    <row r="28" customFormat="false" ht="17.25" hidden="false" customHeight="true" outlineLevel="0" collapsed="false">
      <c r="A28" s="176"/>
      <c r="B28" s="176"/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</row>
    <row r="29" customFormat="false" ht="17.25" hidden="false" customHeight="true" outlineLevel="0" collapsed="false">
      <c r="A29" s="176"/>
      <c r="B29" s="176"/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</row>
    <row r="30" customFormat="false" ht="17.25" hidden="false" customHeight="true" outlineLevel="0" collapsed="false">
      <c r="A30" s="216" t="s">
        <v>2386</v>
      </c>
      <c r="B30" s="217" t="s">
        <v>2387</v>
      </c>
      <c r="C30" s="217" t="s">
        <v>2388</v>
      </c>
      <c r="D30" s="218" t="s">
        <v>2389</v>
      </c>
      <c r="E30" s="219" t="s">
        <v>2390</v>
      </c>
      <c r="F30" s="219" t="s">
        <v>2391</v>
      </c>
      <c r="G30" s="219" t="s">
        <v>2392</v>
      </c>
      <c r="H30" s="220" t="s">
        <v>2393</v>
      </c>
      <c r="I30" s="221" t="s">
        <v>2394</v>
      </c>
      <c r="J30" s="221" t="s">
        <v>2395</v>
      </c>
      <c r="K30" s="222" t="s">
        <v>2396</v>
      </c>
      <c r="L30" s="222" t="s">
        <v>2397</v>
      </c>
      <c r="M30" s="223" t="s">
        <v>2398</v>
      </c>
      <c r="N30" s="224" t="s">
        <v>2399</v>
      </c>
      <c r="O30" s="224" t="s">
        <v>2400</v>
      </c>
      <c r="P30" s="176"/>
    </row>
    <row r="31" customFormat="false" ht="17.25" hidden="false" customHeight="true" outlineLevel="0" collapsed="false">
      <c r="A31" s="225" t="s">
        <v>2401</v>
      </c>
      <c r="B31" s="225" t="s">
        <v>2402</v>
      </c>
      <c r="C31" s="226" t="s">
        <v>2403</v>
      </c>
      <c r="D31" s="227" t="s">
        <v>2404</v>
      </c>
      <c r="E31" s="227" t="s">
        <v>2405</v>
      </c>
      <c r="F31" s="228" t="s">
        <v>2406</v>
      </c>
      <c r="G31" s="229" t="s">
        <v>2407</v>
      </c>
      <c r="H31" s="229" t="s">
        <v>2408</v>
      </c>
      <c r="I31" s="229" t="s">
        <v>2409</v>
      </c>
      <c r="J31" s="230" t="s">
        <v>2410</v>
      </c>
      <c r="K31" s="231" t="s">
        <v>2411</v>
      </c>
      <c r="L31" s="231" t="s">
        <v>2412</v>
      </c>
      <c r="M31" s="232" t="s">
        <v>2413</v>
      </c>
      <c r="N31" s="232" t="s">
        <v>2414</v>
      </c>
      <c r="O31" s="233" t="s">
        <v>2415</v>
      </c>
      <c r="P31" s="176"/>
    </row>
    <row r="32" customFormat="false" ht="17.25" hidden="false" customHeight="true" outlineLevel="0" collapsed="false">
      <c r="A32" s="234" t="s">
        <v>2416</v>
      </c>
      <c r="B32" s="234" t="s">
        <v>2417</v>
      </c>
      <c r="C32" s="235" t="s">
        <v>2418</v>
      </c>
      <c r="D32" s="235" t="s">
        <v>2419</v>
      </c>
      <c r="E32" s="236" t="s">
        <v>2420</v>
      </c>
      <c r="F32" s="237" t="s">
        <v>2421</v>
      </c>
      <c r="G32" s="237" t="s">
        <v>2422</v>
      </c>
      <c r="H32" s="238" t="s">
        <v>2423</v>
      </c>
      <c r="I32" s="239" t="s">
        <v>2424</v>
      </c>
      <c r="J32" s="239" t="s">
        <v>2425</v>
      </c>
      <c r="K32" s="240" t="s">
        <v>2426</v>
      </c>
      <c r="L32" s="240" t="s">
        <v>2427</v>
      </c>
      <c r="M32" s="241" t="s">
        <v>2428</v>
      </c>
      <c r="N32" s="242" t="s">
        <v>2429</v>
      </c>
      <c r="O32" s="242" t="s">
        <v>2430</v>
      </c>
      <c r="P32" s="176"/>
    </row>
    <row r="33" customFormat="false" ht="17.25" hidden="false" customHeight="true" outlineLevel="0" collapsed="false">
      <c r="A33" s="243" t="s">
        <v>2431</v>
      </c>
      <c r="B33" s="244" t="s">
        <v>2432</v>
      </c>
      <c r="C33" s="244" t="s">
        <v>2433</v>
      </c>
      <c r="D33" s="245" t="s">
        <v>2434</v>
      </c>
      <c r="E33" s="246" t="s">
        <v>2435</v>
      </c>
      <c r="F33" s="246" t="s">
        <v>2436</v>
      </c>
      <c r="G33" s="247" t="s">
        <v>2437</v>
      </c>
      <c r="H33" s="247" t="s">
        <v>2438</v>
      </c>
      <c r="I33" s="248" t="s">
        <v>2439</v>
      </c>
      <c r="J33" s="249" t="s">
        <v>2440</v>
      </c>
      <c r="K33" s="249" t="s">
        <v>2441</v>
      </c>
      <c r="L33" s="250" t="s">
        <v>2442</v>
      </c>
      <c r="M33" s="250" t="s">
        <v>2443</v>
      </c>
      <c r="N33" s="251" t="s">
        <v>2444</v>
      </c>
      <c r="O33" s="252" t="s">
        <v>2445</v>
      </c>
      <c r="P33" s="176"/>
    </row>
    <row r="34" customFormat="false" ht="17.25" hidden="false" customHeight="true" outlineLevel="0" collapsed="false">
      <c r="A34" s="252" t="s">
        <v>2446</v>
      </c>
      <c r="B34" s="253" t="s">
        <v>2447</v>
      </c>
      <c r="C34" s="254" t="s">
        <v>2448</v>
      </c>
      <c r="D34" s="254" t="s">
        <v>2449</v>
      </c>
      <c r="E34" s="254" t="s">
        <v>2450</v>
      </c>
      <c r="F34" s="255" t="s">
        <v>2451</v>
      </c>
      <c r="G34" s="255" t="s">
        <v>2452</v>
      </c>
      <c r="H34" s="256" t="s">
        <v>2453</v>
      </c>
      <c r="I34" s="256" t="s">
        <v>2454</v>
      </c>
      <c r="J34" s="257" t="s">
        <v>2455</v>
      </c>
      <c r="K34" s="258" t="s">
        <v>2456</v>
      </c>
      <c r="L34" s="259" t="s">
        <v>2457</v>
      </c>
      <c r="M34" s="259" t="s">
        <v>2458</v>
      </c>
      <c r="N34" s="260" t="s">
        <v>2459</v>
      </c>
      <c r="O34" s="260" t="s">
        <v>2460</v>
      </c>
      <c r="P34" s="176"/>
    </row>
    <row r="35" customFormat="false" ht="17.25" hidden="false" customHeight="true" outlineLevel="0" collapsed="false">
      <c r="A35" s="261" t="s">
        <v>2461</v>
      </c>
      <c r="B35" s="262" t="s">
        <v>2462</v>
      </c>
      <c r="C35" s="263" t="s">
        <v>2463</v>
      </c>
      <c r="D35" s="264" t="s">
        <v>2464</v>
      </c>
      <c r="E35" s="265" t="s">
        <v>2465</v>
      </c>
      <c r="F35" s="265" t="s">
        <v>2466</v>
      </c>
      <c r="G35" s="266" t="s">
        <v>2467</v>
      </c>
      <c r="H35" s="267" t="s">
        <v>2468</v>
      </c>
      <c r="I35" s="268" t="s">
        <v>2469</v>
      </c>
      <c r="J35" s="269" t="s">
        <v>2470</v>
      </c>
      <c r="K35" s="270" t="s">
        <v>2471</v>
      </c>
      <c r="L35" s="270" t="s">
        <v>2472</v>
      </c>
      <c r="M35" s="271" t="s">
        <v>2473</v>
      </c>
      <c r="N35" s="272" t="s">
        <v>2474</v>
      </c>
      <c r="O35" s="273" t="s">
        <v>2475</v>
      </c>
      <c r="P35" s="176"/>
    </row>
    <row r="36" customFormat="false" ht="17.25" hidden="false" customHeight="true" outlineLevel="0" collapsed="false">
      <c r="A36" s="274" t="s">
        <v>2476</v>
      </c>
      <c r="B36" s="275" t="s">
        <v>2477</v>
      </c>
      <c r="C36" s="275" t="s">
        <v>2478</v>
      </c>
      <c r="D36" s="276" t="s">
        <v>2479</v>
      </c>
      <c r="E36" s="277" t="s">
        <v>2480</v>
      </c>
      <c r="F36" s="278" t="s">
        <v>2481</v>
      </c>
      <c r="G36" s="279" t="s">
        <v>2482</v>
      </c>
      <c r="H36" s="280" t="s">
        <v>2483</v>
      </c>
      <c r="I36" s="280" t="s">
        <v>2484</v>
      </c>
      <c r="J36" s="281" t="s">
        <v>2485</v>
      </c>
      <c r="K36" s="282" t="s">
        <v>2486</v>
      </c>
      <c r="L36" s="283" t="s">
        <v>2487</v>
      </c>
      <c r="M36" s="283" t="s">
        <v>2488</v>
      </c>
      <c r="N36" s="284" t="s">
        <v>2489</v>
      </c>
      <c r="O36" s="284" t="s">
        <v>2490</v>
      </c>
      <c r="P36" s="176"/>
    </row>
    <row r="37" customFormat="false" ht="17.25" hidden="false" customHeight="true" outlineLevel="0" collapsed="false">
      <c r="A37" s="285" t="s">
        <v>2491</v>
      </c>
      <c r="B37" s="286" t="s">
        <v>2492</v>
      </c>
      <c r="C37" s="287" t="s">
        <v>2493</v>
      </c>
      <c r="D37" s="287" t="s">
        <v>2494</v>
      </c>
      <c r="E37" s="288" t="s">
        <v>2495</v>
      </c>
      <c r="F37" s="288" t="s">
        <v>2496</v>
      </c>
      <c r="G37" s="289" t="s">
        <v>2497</v>
      </c>
      <c r="H37" s="290" t="s">
        <v>2498</v>
      </c>
      <c r="I37" s="291" t="s">
        <v>2499</v>
      </c>
      <c r="J37" s="291" t="s">
        <v>2500</v>
      </c>
      <c r="K37" s="292" t="s">
        <v>2501</v>
      </c>
      <c r="L37" s="292" t="s">
        <v>2502</v>
      </c>
      <c r="M37" s="293" t="s">
        <v>2503</v>
      </c>
      <c r="N37" s="294" t="s">
        <v>2504</v>
      </c>
      <c r="O37" s="295" t="s">
        <v>2505</v>
      </c>
      <c r="P37" s="176"/>
    </row>
    <row r="38" customFormat="false" ht="17.25" hidden="false" customHeight="true" outlineLevel="0" collapsed="false">
      <c r="A38" s="296" t="s">
        <v>2506</v>
      </c>
      <c r="B38" s="297" t="s">
        <v>2507</v>
      </c>
      <c r="C38" s="297" t="s">
        <v>2508</v>
      </c>
      <c r="D38" s="298" t="s">
        <v>2509</v>
      </c>
      <c r="E38" s="299" t="s">
        <v>2510</v>
      </c>
      <c r="F38" s="300" t="s">
        <v>2511</v>
      </c>
      <c r="G38" s="300" t="s">
        <v>2512</v>
      </c>
      <c r="H38" s="301" t="s">
        <v>2513</v>
      </c>
      <c r="I38" s="301" t="s">
        <v>2514</v>
      </c>
      <c r="J38" s="302" t="s">
        <v>2515</v>
      </c>
      <c r="K38" s="303" t="s">
        <v>2516</v>
      </c>
      <c r="L38" s="304" t="s">
        <v>2517</v>
      </c>
      <c r="M38" s="304" t="s">
        <v>2518</v>
      </c>
      <c r="N38" s="305" t="s">
        <v>2519</v>
      </c>
      <c r="O38" s="305" t="s">
        <v>2520</v>
      </c>
      <c r="P38" s="176"/>
    </row>
    <row r="39" customFormat="false" ht="17.25" hidden="false" customHeight="true" outlineLevel="0" collapsed="false">
      <c r="A39" s="306" t="s">
        <v>2521</v>
      </c>
      <c r="B39" s="307" t="s">
        <v>2522</v>
      </c>
      <c r="C39" s="308" t="s">
        <v>2523</v>
      </c>
      <c r="D39" s="308" t="s">
        <v>2524</v>
      </c>
      <c r="E39" s="309" t="s">
        <v>2525</v>
      </c>
      <c r="F39" s="309" t="s">
        <v>2526</v>
      </c>
      <c r="G39" s="310" t="s">
        <v>2527</v>
      </c>
      <c r="H39" s="311" t="s">
        <v>2528</v>
      </c>
      <c r="I39" s="312" t="s">
        <v>2529</v>
      </c>
      <c r="J39" s="313" t="s">
        <v>2530</v>
      </c>
      <c r="K39" s="314" t="s">
        <v>2531</v>
      </c>
      <c r="L39" s="314" t="s">
        <v>2532</v>
      </c>
      <c r="M39" s="315" t="s">
        <v>2533</v>
      </c>
      <c r="N39" s="316" t="s">
        <v>2534</v>
      </c>
      <c r="O39" s="317" t="s">
        <v>2535</v>
      </c>
      <c r="P39" s="176"/>
    </row>
    <row r="40" customFormat="false" ht="17.25" hidden="false" customHeight="true" outlineLevel="0" collapsed="false">
      <c r="A40" s="318" t="s">
        <v>2536</v>
      </c>
      <c r="B40" s="319" t="s">
        <v>2537</v>
      </c>
      <c r="C40" s="319" t="s">
        <v>2538</v>
      </c>
      <c r="D40" s="320" t="s">
        <v>2539</v>
      </c>
      <c r="E40" s="321" t="s">
        <v>2540</v>
      </c>
      <c r="F40" s="322" t="s">
        <v>2541</v>
      </c>
      <c r="G40" s="323" t="s">
        <v>2542</v>
      </c>
      <c r="H40" s="324" t="s">
        <v>2543</v>
      </c>
      <c r="I40" s="324" t="s">
        <v>2544</v>
      </c>
      <c r="J40" s="325" t="s">
        <v>2545</v>
      </c>
      <c r="K40" s="326" t="s">
        <v>2546</v>
      </c>
      <c r="L40" s="327" t="s">
        <v>2547</v>
      </c>
      <c r="M40" s="327" t="s">
        <v>2548</v>
      </c>
      <c r="N40" s="328" t="s">
        <v>2549</v>
      </c>
      <c r="O40" s="328" t="s">
        <v>2550</v>
      </c>
      <c r="P40" s="176"/>
    </row>
    <row r="41" customFormat="false" ht="17.25" hidden="false" customHeight="true" outlineLevel="0" collapsed="false">
      <c r="A41" s="329" t="s">
        <v>2551</v>
      </c>
      <c r="B41" s="330" t="s">
        <v>2552</v>
      </c>
      <c r="C41" s="331" t="s">
        <v>2553</v>
      </c>
      <c r="D41" s="331" t="s">
        <v>2554</v>
      </c>
      <c r="E41" s="332" t="s">
        <v>2555</v>
      </c>
      <c r="F41" s="332" t="s">
        <v>2556</v>
      </c>
      <c r="G41" s="333" t="s">
        <v>2557</v>
      </c>
      <c r="H41" s="334" t="s">
        <v>2558</v>
      </c>
      <c r="I41" s="334" t="s">
        <v>2559</v>
      </c>
      <c r="J41" s="335" t="s">
        <v>2560</v>
      </c>
      <c r="K41" s="335" t="s">
        <v>2561</v>
      </c>
      <c r="L41" s="336" t="s">
        <v>2562</v>
      </c>
      <c r="M41" s="337" t="s">
        <v>2563</v>
      </c>
      <c r="N41" s="337" t="s">
        <v>2564</v>
      </c>
      <c r="O41" s="338" t="s">
        <v>2565</v>
      </c>
      <c r="P41" s="176"/>
    </row>
    <row r="42" customFormat="false" ht="17.25" hidden="false" customHeight="true" outlineLevel="0" collapsed="false">
      <c r="A42" s="339" t="s">
        <v>2566</v>
      </c>
      <c r="B42" s="339" t="s">
        <v>2567</v>
      </c>
      <c r="C42" s="339" t="s">
        <v>2568</v>
      </c>
      <c r="D42" s="340" t="s">
        <v>2569</v>
      </c>
      <c r="E42" s="340" t="s">
        <v>2570</v>
      </c>
      <c r="F42" s="340" t="s">
        <v>2571</v>
      </c>
      <c r="G42" s="341" t="s">
        <v>2572</v>
      </c>
      <c r="H42" s="341" t="s">
        <v>2573</v>
      </c>
      <c r="I42" s="341" t="s">
        <v>2574</v>
      </c>
      <c r="J42" s="342" t="s">
        <v>2575</v>
      </c>
      <c r="K42" s="342" t="s">
        <v>2576</v>
      </c>
      <c r="L42" s="343" t="s">
        <v>2577</v>
      </c>
      <c r="M42" s="344" t="s">
        <v>2578</v>
      </c>
      <c r="N42" s="344" t="s">
        <v>2579</v>
      </c>
      <c r="O42" s="344" t="s">
        <v>2580</v>
      </c>
      <c r="P42" s="176"/>
    </row>
    <row r="43" customFormat="false" ht="17.25" hidden="false" customHeight="true" outlineLevel="0" collapsed="false">
      <c r="A43" s="345" t="s">
        <v>2581</v>
      </c>
      <c r="B43" s="345" t="s">
        <v>2582</v>
      </c>
      <c r="C43" s="345" t="s">
        <v>2583</v>
      </c>
      <c r="D43" s="346" t="s">
        <v>2584</v>
      </c>
      <c r="E43" s="346" t="s">
        <v>2585</v>
      </c>
      <c r="F43" s="347" t="s">
        <v>2586</v>
      </c>
      <c r="G43" s="348" t="s">
        <v>2587</v>
      </c>
      <c r="H43" s="348" t="s">
        <v>2588</v>
      </c>
      <c r="I43" s="349" t="s">
        <v>2589</v>
      </c>
      <c r="J43" s="349" t="s">
        <v>2590</v>
      </c>
      <c r="K43" s="350" t="s">
        <v>2591</v>
      </c>
      <c r="L43" s="351" t="s">
        <v>2592</v>
      </c>
      <c r="M43" s="351" t="s">
        <v>2593</v>
      </c>
      <c r="N43" s="352" t="s">
        <v>2594</v>
      </c>
      <c r="O43" s="353" t="s">
        <v>2595</v>
      </c>
      <c r="P43" s="176"/>
    </row>
    <row r="44" customFormat="false" ht="17.25" hidden="false" customHeight="true" outlineLevel="0" collapsed="false">
      <c r="A44" s="353" t="s">
        <v>2596</v>
      </c>
      <c r="B44" s="354" t="s">
        <v>2597</v>
      </c>
      <c r="C44" s="354" t="s">
        <v>2598</v>
      </c>
      <c r="D44" s="355" t="s">
        <v>2599</v>
      </c>
      <c r="E44" s="355" t="s">
        <v>2600</v>
      </c>
      <c r="F44" s="356" t="s">
        <v>2601</v>
      </c>
      <c r="G44" s="357" t="s">
        <v>2602</v>
      </c>
      <c r="H44" s="358" t="s">
        <v>2603</v>
      </c>
      <c r="I44" s="359" t="s">
        <v>2604</v>
      </c>
      <c r="J44" s="360" t="s">
        <v>2605</v>
      </c>
      <c r="K44" s="361" t="s">
        <v>2606</v>
      </c>
      <c r="L44" s="362" t="s">
        <v>2607</v>
      </c>
      <c r="M44" s="363" t="s">
        <v>2608</v>
      </c>
      <c r="N44" s="363" t="s">
        <v>2609</v>
      </c>
      <c r="O44" s="363" t="s">
        <v>2610</v>
      </c>
      <c r="P44" s="176"/>
    </row>
    <row r="45" customFormat="false" ht="17.25" hidden="false" customHeight="true" outlineLevel="0" collapsed="false">
      <c r="A45" s="364" t="s">
        <v>2611</v>
      </c>
      <c r="B45" s="365" t="s">
        <v>2612</v>
      </c>
      <c r="C45" s="366" t="s">
        <v>2613</v>
      </c>
      <c r="D45" s="367" t="s">
        <v>2614</v>
      </c>
      <c r="E45" s="367" t="s">
        <v>2615</v>
      </c>
      <c r="F45" s="368" t="s">
        <v>2616</v>
      </c>
      <c r="G45" s="369" t="s">
        <v>2617</v>
      </c>
      <c r="H45" s="369" t="s">
        <v>2618</v>
      </c>
      <c r="I45" s="370" t="s">
        <v>2619</v>
      </c>
      <c r="J45" s="371" t="s">
        <v>2620</v>
      </c>
      <c r="K45" s="372" t="s">
        <v>2621</v>
      </c>
      <c r="L45" s="373" t="s">
        <v>2622</v>
      </c>
      <c r="M45" s="373" t="s">
        <v>2623</v>
      </c>
      <c r="N45" s="374" t="s">
        <v>2624</v>
      </c>
      <c r="O45" s="375" t="s">
        <v>2625</v>
      </c>
      <c r="P45" s="176"/>
    </row>
    <row r="46" customFormat="false" ht="17.25" hidden="false" customHeight="true" outlineLevel="0" collapsed="false">
      <c r="A46" s="376" t="n">
        <v>255241241</v>
      </c>
      <c r="B46" s="377" t="n">
        <v>255242242</v>
      </c>
      <c r="C46" s="378" t="n">
        <v>255243243</v>
      </c>
      <c r="D46" s="378" t="n">
        <v>255244244</v>
      </c>
      <c r="E46" s="379" t="n">
        <v>255245245</v>
      </c>
      <c r="F46" s="379" t="n">
        <v>255246246</v>
      </c>
      <c r="G46" s="379" t="n">
        <v>255247247</v>
      </c>
      <c r="H46" s="380" t="n">
        <v>255248248</v>
      </c>
      <c r="I46" s="381" t="n">
        <v>255249249</v>
      </c>
      <c r="J46" s="382" t="n">
        <v>255250250</v>
      </c>
      <c r="K46" s="383" t="n">
        <v>255251251</v>
      </c>
      <c r="L46" s="383" t="n">
        <v>255252252</v>
      </c>
      <c r="M46" s="384" t="n">
        <v>255253253</v>
      </c>
      <c r="N46" s="385" t="n">
        <v>255254254</v>
      </c>
      <c r="O46" s="386" t="n">
        <v>255255255</v>
      </c>
    </row>
  </sheetData>
  <mergeCells count="2">
    <mergeCell ref="A13:C13"/>
    <mergeCell ref="A16:C1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D56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12" activeCellId="0" sqref="G12"/>
    </sheetView>
  </sheetViews>
  <sheetFormatPr defaultColWidth="11.42578125" defaultRowHeight="12.75" zeroHeight="false" outlineLevelRow="0" outlineLevelCol="0"/>
  <cols>
    <col collapsed="false" customWidth="true" hidden="false" outlineLevel="0" max="1" min="1" style="1" width="6"/>
    <col collapsed="false" customWidth="true" hidden="false" outlineLevel="0" max="2" min="2" style="1" width="3"/>
    <col collapsed="false" customWidth="true" hidden="false" outlineLevel="0" max="3" min="3" style="1" width="15"/>
    <col collapsed="false" customWidth="true" hidden="false" outlineLevel="0" max="52" min="4" style="1" width="4.71"/>
    <col collapsed="false" customWidth="true" hidden="false" outlineLevel="0" max="53" min="53" style="1" width="3.57"/>
    <col collapsed="false" customWidth="true" hidden="false" outlineLevel="0" max="54" min="54" style="1" width="37.29"/>
    <col collapsed="false" customWidth="true" hidden="false" outlineLevel="0" max="60" min="55" style="1" width="4.71"/>
    <col collapsed="false" customWidth="true" hidden="false" outlineLevel="0" max="61" min="61" style="1" width="3.29"/>
    <col collapsed="false" customWidth="true" hidden="false" outlineLevel="0" max="62" min="62" style="1" width="30.85"/>
    <col collapsed="false" customWidth="true" hidden="false" outlineLevel="0" max="63" min="63" style="1" width="0.57"/>
    <col collapsed="false" customWidth="false" hidden="false" outlineLevel="0" max="16384" min="64" style="1" width="11.43"/>
  </cols>
  <sheetData>
    <row r="1" s="2" customFormat="true" ht="13.5" hidden="false" customHeight="false" outlineLevel="0" collapsed="false"/>
    <row r="2" customFormat="false" ht="12.75" hidden="false" customHeight="true" outlineLevel="0" collapsed="false">
      <c r="D2" s="3" t="s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4" t="s">
        <v>1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5" t="s">
        <v>2</v>
      </c>
      <c r="AB2" s="5"/>
      <c r="AC2" s="5"/>
      <c r="AD2" s="5"/>
      <c r="AE2" s="5"/>
      <c r="AF2" s="5"/>
      <c r="AG2" s="5"/>
      <c r="AH2" s="5"/>
      <c r="AI2" s="6" t="s">
        <v>3</v>
      </c>
      <c r="AJ2" s="6"/>
      <c r="AK2" s="6"/>
      <c r="AL2" s="6"/>
      <c r="AM2" s="6"/>
      <c r="AN2" s="6"/>
      <c r="AO2" s="6"/>
      <c r="AP2" s="6"/>
      <c r="AQ2" s="6"/>
      <c r="AR2" s="7" t="s">
        <v>2626</v>
      </c>
      <c r="AS2" s="7"/>
      <c r="AT2" s="7"/>
      <c r="AU2" s="7"/>
      <c r="AV2" s="7"/>
      <c r="AW2" s="7"/>
      <c r="AX2" s="8" t="s">
        <v>5</v>
      </c>
      <c r="AY2" s="8"/>
      <c r="BA2" s="9"/>
      <c r="BB2" s="10"/>
    </row>
    <row r="3" customFormat="false" ht="13.5" hidden="false" customHeight="true" outlineLevel="0" collapsed="false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5"/>
      <c r="AB3" s="5"/>
      <c r="AC3" s="5"/>
      <c r="AD3" s="5"/>
      <c r="AE3" s="5"/>
      <c r="AF3" s="5"/>
      <c r="AG3" s="5"/>
      <c r="AH3" s="5"/>
      <c r="AI3" s="6"/>
      <c r="AJ3" s="6"/>
      <c r="AK3" s="6"/>
      <c r="AL3" s="6"/>
      <c r="AM3" s="6"/>
      <c r="AN3" s="6"/>
      <c r="AO3" s="6"/>
      <c r="AP3" s="6"/>
      <c r="AQ3" s="6"/>
      <c r="AR3" s="7"/>
      <c r="AS3" s="7"/>
      <c r="AT3" s="7"/>
      <c r="AU3" s="7"/>
      <c r="AV3" s="7"/>
      <c r="AW3" s="7"/>
      <c r="AX3" s="8"/>
      <c r="AY3" s="8"/>
      <c r="BA3" s="9"/>
      <c r="BB3" s="10"/>
    </row>
    <row r="4" customFormat="false" ht="65.25" hidden="false" customHeight="true" outlineLevel="0" collapsed="false">
      <c r="B4" s="11"/>
      <c r="C4" s="12"/>
      <c r="D4" s="13" t="s">
        <v>6</v>
      </c>
      <c r="E4" s="14" t="s">
        <v>7</v>
      </c>
      <c r="F4" s="15" t="s">
        <v>8</v>
      </c>
      <c r="G4" s="14" t="s">
        <v>9</v>
      </c>
      <c r="H4" s="15" t="s">
        <v>10</v>
      </c>
      <c r="I4" s="14" t="s">
        <v>11</v>
      </c>
      <c r="J4" s="15" t="s">
        <v>12</v>
      </c>
      <c r="K4" s="14" t="s">
        <v>13</v>
      </c>
      <c r="L4" s="15" t="s">
        <v>14</v>
      </c>
      <c r="M4" s="14" t="s">
        <v>15</v>
      </c>
      <c r="N4" s="16" t="s">
        <v>16</v>
      </c>
      <c r="O4" s="17" t="s">
        <v>17</v>
      </c>
      <c r="P4" s="15" t="s">
        <v>18</v>
      </c>
      <c r="Q4" s="18" t="s">
        <v>19</v>
      </c>
      <c r="R4" s="15" t="s">
        <v>20</v>
      </c>
      <c r="S4" s="18" t="s">
        <v>21</v>
      </c>
      <c r="T4" s="19" t="s">
        <v>22</v>
      </c>
      <c r="U4" s="14" t="s">
        <v>23</v>
      </c>
      <c r="V4" s="15" t="s">
        <v>24</v>
      </c>
      <c r="W4" s="14" t="s">
        <v>25</v>
      </c>
      <c r="X4" s="15" t="s">
        <v>26</v>
      </c>
      <c r="Y4" s="14" t="s">
        <v>27</v>
      </c>
      <c r="Z4" s="16" t="s">
        <v>28</v>
      </c>
      <c r="AA4" s="21" t="s">
        <v>29</v>
      </c>
      <c r="AB4" s="15" t="s">
        <v>30</v>
      </c>
      <c r="AC4" s="14" t="s">
        <v>31</v>
      </c>
      <c r="AD4" s="15" t="s">
        <v>32</v>
      </c>
      <c r="AE4" s="14" t="s">
        <v>33</v>
      </c>
      <c r="AF4" s="15" t="s">
        <v>34</v>
      </c>
      <c r="AG4" s="14" t="s">
        <v>35</v>
      </c>
      <c r="AH4" s="22" t="s">
        <v>36</v>
      </c>
      <c r="AI4" s="17" t="s">
        <v>37</v>
      </c>
      <c r="AJ4" s="15" t="s">
        <v>38</v>
      </c>
      <c r="AK4" s="17" t="s">
        <v>39</v>
      </c>
      <c r="AL4" s="15" t="s">
        <v>40</v>
      </c>
      <c r="AM4" s="18" t="s">
        <v>41</v>
      </c>
      <c r="AN4" s="15" t="s">
        <v>42</v>
      </c>
      <c r="AO4" s="14" t="s">
        <v>43</v>
      </c>
      <c r="AP4" s="15" t="s">
        <v>44</v>
      </c>
      <c r="AQ4" s="18" t="s">
        <v>45</v>
      </c>
      <c r="AR4" s="23" t="s">
        <v>46</v>
      </c>
      <c r="AS4" s="14" t="s">
        <v>47</v>
      </c>
      <c r="AT4" s="15" t="s">
        <v>48</v>
      </c>
      <c r="AU4" s="14" t="s">
        <v>49</v>
      </c>
      <c r="AV4" s="15" t="s">
        <v>50</v>
      </c>
      <c r="AW4" s="24" t="s">
        <v>51</v>
      </c>
      <c r="AX4" s="23" t="s">
        <v>52</v>
      </c>
      <c r="AY4" s="25" t="s">
        <v>53</v>
      </c>
      <c r="BA4" s="9"/>
      <c r="BB4" s="10"/>
    </row>
    <row r="5" customFormat="false" ht="13.5" hidden="false" customHeight="true" outlineLevel="0" collapsed="false">
      <c r="B5" s="26"/>
      <c r="C5" s="27"/>
      <c r="D5" s="28" t="n">
        <v>1</v>
      </c>
      <c r="E5" s="29" t="n">
        <v>2</v>
      </c>
      <c r="F5" s="30" t="n">
        <v>3</v>
      </c>
      <c r="G5" s="29" t="n">
        <v>4</v>
      </c>
      <c r="H5" s="30" t="n">
        <v>5</v>
      </c>
      <c r="I5" s="29" t="n">
        <v>6</v>
      </c>
      <c r="J5" s="30" t="n">
        <v>7</v>
      </c>
      <c r="K5" s="29" t="n">
        <v>8</v>
      </c>
      <c r="L5" s="30" t="n">
        <v>9</v>
      </c>
      <c r="M5" s="29" t="n">
        <v>10</v>
      </c>
      <c r="N5" s="31" t="n">
        <v>11</v>
      </c>
      <c r="O5" s="32" t="n">
        <v>12</v>
      </c>
      <c r="P5" s="33" t="n">
        <v>13</v>
      </c>
      <c r="Q5" s="29" t="n">
        <v>14</v>
      </c>
      <c r="R5" s="33" t="n">
        <v>15</v>
      </c>
      <c r="S5" s="29" t="n">
        <v>16</v>
      </c>
      <c r="T5" s="33" t="n">
        <v>17</v>
      </c>
      <c r="U5" s="29" t="n">
        <v>18</v>
      </c>
      <c r="V5" s="33" t="n">
        <v>19</v>
      </c>
      <c r="W5" s="29" t="n">
        <v>20</v>
      </c>
      <c r="X5" s="33" t="n">
        <v>21</v>
      </c>
      <c r="Y5" s="29" t="n">
        <v>22</v>
      </c>
      <c r="Z5" s="35" t="n">
        <v>23</v>
      </c>
      <c r="AA5" s="36" t="n">
        <v>24</v>
      </c>
      <c r="AB5" s="37" t="n">
        <v>25</v>
      </c>
      <c r="AC5" s="29" t="n">
        <v>26</v>
      </c>
      <c r="AD5" s="37" t="n">
        <v>27</v>
      </c>
      <c r="AE5" s="29" t="n">
        <v>28</v>
      </c>
      <c r="AF5" s="37" t="n">
        <v>29</v>
      </c>
      <c r="AG5" s="29" t="n">
        <v>30</v>
      </c>
      <c r="AH5" s="38" t="n">
        <v>31</v>
      </c>
      <c r="AI5" s="32" t="n">
        <v>32</v>
      </c>
      <c r="AJ5" s="37" t="n">
        <v>33</v>
      </c>
      <c r="AK5" s="32" t="n">
        <v>34</v>
      </c>
      <c r="AL5" s="39" t="n">
        <v>35</v>
      </c>
      <c r="AM5" s="29" t="n">
        <v>36</v>
      </c>
      <c r="AN5" s="39" t="n">
        <v>37</v>
      </c>
      <c r="AO5" s="32" t="n">
        <v>38</v>
      </c>
      <c r="AP5" s="37" t="n">
        <v>39</v>
      </c>
      <c r="AQ5" s="40" t="n">
        <v>40</v>
      </c>
      <c r="AR5" s="41" t="n">
        <v>41</v>
      </c>
      <c r="AS5" s="42" t="n">
        <v>42</v>
      </c>
      <c r="AT5" s="43" t="n">
        <v>43</v>
      </c>
      <c r="AU5" s="44" t="n">
        <v>44</v>
      </c>
      <c r="AV5" s="45" t="n">
        <v>45</v>
      </c>
      <c r="AW5" s="46" t="n">
        <v>46</v>
      </c>
      <c r="AX5" s="41" t="n">
        <v>47</v>
      </c>
      <c r="AY5" s="47" t="n">
        <v>48</v>
      </c>
      <c r="AZ5" s="48" t="n">
        <v>25</v>
      </c>
      <c r="BA5" s="9"/>
      <c r="BB5" s="49"/>
    </row>
    <row r="6" customFormat="false" ht="18" hidden="false" customHeight="true" outlineLevel="0" collapsed="false">
      <c r="A6" s="50" t="s">
        <v>0</v>
      </c>
      <c r="B6" s="51" t="n">
        <v>1</v>
      </c>
      <c r="C6" s="52" t="s">
        <v>6</v>
      </c>
      <c r="D6" s="53"/>
      <c r="E6" s="54" t="s">
        <v>2627</v>
      </c>
      <c r="F6" s="54" t="s">
        <v>2628</v>
      </c>
      <c r="G6" s="54" t="s">
        <v>2629</v>
      </c>
      <c r="H6" s="54" t="s">
        <v>2630</v>
      </c>
      <c r="I6" s="54" t="s">
        <v>2631</v>
      </c>
      <c r="J6" s="54" t="s">
        <v>2632</v>
      </c>
      <c r="K6" s="54" t="s">
        <v>2633</v>
      </c>
      <c r="L6" s="54" t="s">
        <v>2634</v>
      </c>
      <c r="M6" s="54" t="s">
        <v>2635</v>
      </c>
      <c r="N6" s="55" t="s">
        <v>2636</v>
      </c>
      <c r="O6" s="56" t="s">
        <v>2637</v>
      </c>
      <c r="P6" s="54" t="s">
        <v>2638</v>
      </c>
      <c r="Q6" s="54" t="s">
        <v>2639</v>
      </c>
      <c r="R6" s="54" t="s">
        <v>2640</v>
      </c>
      <c r="S6" s="54" t="s">
        <v>2641</v>
      </c>
      <c r="T6" s="54" t="s">
        <v>2642</v>
      </c>
      <c r="U6" s="54" t="s">
        <v>2643</v>
      </c>
      <c r="V6" s="54" t="s">
        <v>2644</v>
      </c>
      <c r="W6" s="54" t="s">
        <v>2645</v>
      </c>
      <c r="X6" s="54" t="s">
        <v>2646</v>
      </c>
      <c r="Y6" s="54" t="s">
        <v>2647</v>
      </c>
      <c r="Z6" s="55" t="s">
        <v>2648</v>
      </c>
      <c r="AA6" s="56" t="s">
        <v>2649</v>
      </c>
      <c r="AB6" s="54" t="s">
        <v>2650</v>
      </c>
      <c r="AC6" s="54" t="s">
        <v>2651</v>
      </c>
      <c r="AD6" s="54" t="s">
        <v>2652</v>
      </c>
      <c r="AE6" s="54" t="s">
        <v>2653</v>
      </c>
      <c r="AF6" s="54" t="s">
        <v>2654</v>
      </c>
      <c r="AG6" s="54" t="s">
        <v>2655</v>
      </c>
      <c r="AH6" s="55" t="s">
        <v>2656</v>
      </c>
      <c r="AI6" s="56" t="s">
        <v>2657</v>
      </c>
      <c r="AJ6" s="54" t="s">
        <v>2658</v>
      </c>
      <c r="AK6" s="54" t="s">
        <v>2659</v>
      </c>
      <c r="AL6" s="54" t="s">
        <v>2660</v>
      </c>
      <c r="AM6" s="54" t="s">
        <v>2661</v>
      </c>
      <c r="AN6" s="54" t="s">
        <v>2662</v>
      </c>
      <c r="AO6" s="54" t="s">
        <v>2663</v>
      </c>
      <c r="AP6" s="54" t="s">
        <v>2664</v>
      </c>
      <c r="AQ6" s="55" t="s">
        <v>2665</v>
      </c>
      <c r="AR6" s="56" t="s">
        <v>2666</v>
      </c>
      <c r="AS6" s="54" t="s">
        <v>2667</v>
      </c>
      <c r="AT6" s="54" t="s">
        <v>2668</v>
      </c>
      <c r="AU6" s="54" t="s">
        <v>2669</v>
      </c>
      <c r="AV6" s="54" t="s">
        <v>2670</v>
      </c>
      <c r="AW6" s="55" t="s">
        <v>2671</v>
      </c>
      <c r="AX6" s="56" t="s">
        <v>2672</v>
      </c>
      <c r="AY6" s="55" t="s">
        <v>2673</v>
      </c>
      <c r="AZ6" s="57" t="n">
        <v>41</v>
      </c>
      <c r="BA6" s="9"/>
      <c r="BB6" s="9"/>
    </row>
    <row r="7" customFormat="false" ht="18" hidden="false" customHeight="true" outlineLevel="0" collapsed="false">
      <c r="A7" s="50"/>
      <c r="B7" s="58" t="n">
        <v>2</v>
      </c>
      <c r="C7" s="59" t="s">
        <v>7</v>
      </c>
      <c r="D7" s="60" t="s">
        <v>2674</v>
      </c>
      <c r="E7" s="61"/>
      <c r="F7" s="62" t="s">
        <v>2675</v>
      </c>
      <c r="G7" s="62" t="s">
        <v>2676</v>
      </c>
      <c r="H7" s="62" t="s">
        <v>2677</v>
      </c>
      <c r="I7" s="62" t="s">
        <v>2678</v>
      </c>
      <c r="J7" s="62" t="s">
        <v>2679</v>
      </c>
      <c r="K7" s="62" t="s">
        <v>2680</v>
      </c>
      <c r="L7" s="62" t="s">
        <v>2681</v>
      </c>
      <c r="M7" s="62" t="s">
        <v>2682</v>
      </c>
      <c r="N7" s="63" t="s">
        <v>2683</v>
      </c>
      <c r="O7" s="60" t="s">
        <v>2684</v>
      </c>
      <c r="P7" s="62" t="s">
        <v>2685</v>
      </c>
      <c r="Q7" s="62" t="s">
        <v>2686</v>
      </c>
      <c r="R7" s="62" t="s">
        <v>2687</v>
      </c>
      <c r="S7" s="62" t="s">
        <v>2688</v>
      </c>
      <c r="T7" s="62" t="s">
        <v>2689</v>
      </c>
      <c r="U7" s="62" t="s">
        <v>2690</v>
      </c>
      <c r="V7" s="62" t="s">
        <v>2691</v>
      </c>
      <c r="W7" s="62" t="s">
        <v>2692</v>
      </c>
      <c r="X7" s="62" t="s">
        <v>2693</v>
      </c>
      <c r="Y7" s="62" t="s">
        <v>2694</v>
      </c>
      <c r="Z7" s="63" t="s">
        <v>2695</v>
      </c>
      <c r="AA7" s="60" t="s">
        <v>2696</v>
      </c>
      <c r="AB7" s="62" t="s">
        <v>2697</v>
      </c>
      <c r="AC7" s="62" t="s">
        <v>2698</v>
      </c>
      <c r="AD7" s="62" t="s">
        <v>2699</v>
      </c>
      <c r="AE7" s="62" t="s">
        <v>2700</v>
      </c>
      <c r="AF7" s="62" t="s">
        <v>2701</v>
      </c>
      <c r="AG7" s="62" t="s">
        <v>2702</v>
      </c>
      <c r="AH7" s="63" t="s">
        <v>2703</v>
      </c>
      <c r="AI7" s="60" t="s">
        <v>2704</v>
      </c>
      <c r="AJ7" s="62" t="s">
        <v>2705</v>
      </c>
      <c r="AK7" s="62" t="s">
        <v>2706</v>
      </c>
      <c r="AL7" s="62" t="s">
        <v>2707</v>
      </c>
      <c r="AM7" s="62" t="s">
        <v>2708</v>
      </c>
      <c r="AN7" s="62" t="s">
        <v>2709</v>
      </c>
      <c r="AO7" s="62" t="s">
        <v>2710</v>
      </c>
      <c r="AP7" s="62" t="s">
        <v>2711</v>
      </c>
      <c r="AQ7" s="63" t="s">
        <v>2712</v>
      </c>
      <c r="AR7" s="60" t="s">
        <v>2713</v>
      </c>
      <c r="AS7" s="62" t="s">
        <v>2714</v>
      </c>
      <c r="AT7" s="62" t="s">
        <v>2715</v>
      </c>
      <c r="AU7" s="62" t="s">
        <v>2716</v>
      </c>
      <c r="AV7" s="62" t="s">
        <v>2717</v>
      </c>
      <c r="AW7" s="63" t="s">
        <v>2718</v>
      </c>
      <c r="AX7" s="60" t="s">
        <v>2719</v>
      </c>
      <c r="AY7" s="63" t="s">
        <v>2720</v>
      </c>
      <c r="AZ7" s="57" t="n">
        <v>36</v>
      </c>
      <c r="BA7" s="9"/>
      <c r="BB7" s="9"/>
    </row>
    <row r="8" customFormat="false" ht="18" hidden="false" customHeight="true" outlineLevel="0" collapsed="false">
      <c r="A8" s="50"/>
      <c r="B8" s="64" t="n">
        <v>3</v>
      </c>
      <c r="C8" s="65" t="s">
        <v>148</v>
      </c>
      <c r="D8" s="66" t="s">
        <v>2721</v>
      </c>
      <c r="E8" s="67" t="s">
        <v>2722</v>
      </c>
      <c r="F8" s="61"/>
      <c r="G8" s="67" t="s">
        <v>2723</v>
      </c>
      <c r="H8" s="68" t="s">
        <v>2724</v>
      </c>
      <c r="I8" s="67" t="s">
        <v>2725</v>
      </c>
      <c r="J8" s="68" t="s">
        <v>2726</v>
      </c>
      <c r="K8" s="67" t="s">
        <v>2727</v>
      </c>
      <c r="L8" s="68" t="s">
        <v>2728</v>
      </c>
      <c r="M8" s="67" t="s">
        <v>2729</v>
      </c>
      <c r="N8" s="69" t="s">
        <v>2730</v>
      </c>
      <c r="O8" s="66" t="s">
        <v>2731</v>
      </c>
      <c r="P8" s="68" t="s">
        <v>2732</v>
      </c>
      <c r="Q8" s="68" t="s">
        <v>2733</v>
      </c>
      <c r="R8" s="68" t="s">
        <v>2734</v>
      </c>
      <c r="S8" s="68" t="s">
        <v>2735</v>
      </c>
      <c r="T8" s="68" t="s">
        <v>2736</v>
      </c>
      <c r="U8" s="68" t="s">
        <v>2737</v>
      </c>
      <c r="V8" s="68" t="s">
        <v>2738</v>
      </c>
      <c r="W8" s="68" t="s">
        <v>2739</v>
      </c>
      <c r="X8" s="68" t="s">
        <v>2740</v>
      </c>
      <c r="Y8" s="68" t="s">
        <v>2741</v>
      </c>
      <c r="Z8" s="69" t="s">
        <v>2742</v>
      </c>
      <c r="AA8" s="66" t="s">
        <v>2743</v>
      </c>
      <c r="AB8" s="68" t="s">
        <v>2744</v>
      </c>
      <c r="AC8" s="68" t="s">
        <v>2745</v>
      </c>
      <c r="AD8" s="68" t="s">
        <v>2746</v>
      </c>
      <c r="AE8" s="68" t="s">
        <v>2747</v>
      </c>
      <c r="AF8" s="68" t="s">
        <v>2748</v>
      </c>
      <c r="AG8" s="68" t="s">
        <v>2749</v>
      </c>
      <c r="AH8" s="69" t="s">
        <v>2750</v>
      </c>
      <c r="AI8" s="66" t="s">
        <v>2751</v>
      </c>
      <c r="AJ8" s="68" t="s">
        <v>2752</v>
      </c>
      <c r="AK8" s="68" t="s">
        <v>2753</v>
      </c>
      <c r="AL8" s="68" t="s">
        <v>2754</v>
      </c>
      <c r="AM8" s="68" t="s">
        <v>2755</v>
      </c>
      <c r="AN8" s="68" t="s">
        <v>2756</v>
      </c>
      <c r="AO8" s="68" t="s">
        <v>2757</v>
      </c>
      <c r="AP8" s="68" t="s">
        <v>2758</v>
      </c>
      <c r="AQ8" s="69" t="s">
        <v>2759</v>
      </c>
      <c r="AR8" s="66" t="s">
        <v>2760</v>
      </c>
      <c r="AS8" s="68" t="s">
        <v>2761</v>
      </c>
      <c r="AT8" s="68" t="s">
        <v>2762</v>
      </c>
      <c r="AU8" s="68" t="s">
        <v>2763</v>
      </c>
      <c r="AV8" s="68" t="s">
        <v>2764</v>
      </c>
      <c r="AW8" s="69" t="s">
        <v>2765</v>
      </c>
      <c r="AX8" s="66" t="s">
        <v>2766</v>
      </c>
      <c r="AY8" s="69" t="s">
        <v>2767</v>
      </c>
      <c r="AZ8" s="57" t="n">
        <v>20</v>
      </c>
      <c r="BA8" s="9"/>
      <c r="BB8" s="9"/>
    </row>
    <row r="9" customFormat="false" ht="18" hidden="false" customHeight="true" outlineLevel="0" collapsed="false">
      <c r="A9" s="50"/>
      <c r="B9" s="60" t="n">
        <v>4</v>
      </c>
      <c r="C9" s="59" t="s">
        <v>196</v>
      </c>
      <c r="D9" s="60" t="s">
        <v>2768</v>
      </c>
      <c r="E9" s="62" t="s">
        <v>2769</v>
      </c>
      <c r="F9" s="62" t="s">
        <v>2770</v>
      </c>
      <c r="G9" s="61"/>
      <c r="H9" s="62" t="s">
        <v>2771</v>
      </c>
      <c r="I9" s="62" t="s">
        <v>2772</v>
      </c>
      <c r="J9" s="62" t="s">
        <v>2773</v>
      </c>
      <c r="K9" s="62" t="s">
        <v>2774</v>
      </c>
      <c r="L9" s="62" t="s">
        <v>2775</v>
      </c>
      <c r="M9" s="62" t="s">
        <v>2776</v>
      </c>
      <c r="N9" s="63" t="s">
        <v>2777</v>
      </c>
      <c r="O9" s="60" t="s">
        <v>2778</v>
      </c>
      <c r="P9" s="62" t="s">
        <v>2779</v>
      </c>
      <c r="Q9" s="62" t="s">
        <v>2780</v>
      </c>
      <c r="R9" s="62" t="s">
        <v>2781</v>
      </c>
      <c r="S9" s="62" t="s">
        <v>2782</v>
      </c>
      <c r="T9" s="62" t="s">
        <v>2783</v>
      </c>
      <c r="U9" s="62" t="s">
        <v>2784</v>
      </c>
      <c r="V9" s="62" t="s">
        <v>2785</v>
      </c>
      <c r="W9" s="62" t="s">
        <v>2786</v>
      </c>
      <c r="X9" s="62" t="s">
        <v>2787</v>
      </c>
      <c r="Y9" s="62" t="s">
        <v>2788</v>
      </c>
      <c r="Z9" s="63" t="s">
        <v>2789</v>
      </c>
      <c r="AA9" s="60" t="s">
        <v>2790</v>
      </c>
      <c r="AB9" s="62" t="s">
        <v>2791</v>
      </c>
      <c r="AC9" s="62" t="s">
        <v>2792</v>
      </c>
      <c r="AD9" s="62" t="s">
        <v>2793</v>
      </c>
      <c r="AE9" s="62" t="s">
        <v>2794</v>
      </c>
      <c r="AF9" s="62" t="s">
        <v>2795</v>
      </c>
      <c r="AG9" s="62" t="s">
        <v>2796</v>
      </c>
      <c r="AH9" s="63" t="s">
        <v>2797</v>
      </c>
      <c r="AI9" s="60" t="s">
        <v>2798</v>
      </c>
      <c r="AJ9" s="62" t="s">
        <v>2799</v>
      </c>
      <c r="AK9" s="62" t="s">
        <v>2800</v>
      </c>
      <c r="AL9" s="62" t="s">
        <v>2801</v>
      </c>
      <c r="AM9" s="62" t="s">
        <v>2802</v>
      </c>
      <c r="AN9" s="62" t="s">
        <v>2803</v>
      </c>
      <c r="AO9" s="62" t="s">
        <v>2804</v>
      </c>
      <c r="AP9" s="62" t="s">
        <v>2805</v>
      </c>
      <c r="AQ9" s="63" t="s">
        <v>2806</v>
      </c>
      <c r="AR9" s="60" t="s">
        <v>2807</v>
      </c>
      <c r="AS9" s="62" t="s">
        <v>2808</v>
      </c>
      <c r="AT9" s="62" t="s">
        <v>2809</v>
      </c>
      <c r="AU9" s="62" t="s">
        <v>2810</v>
      </c>
      <c r="AV9" s="62" t="s">
        <v>2811</v>
      </c>
      <c r="AW9" s="63" t="s">
        <v>2812</v>
      </c>
      <c r="AX9" s="60" t="s">
        <v>2813</v>
      </c>
      <c r="AY9" s="63" t="s">
        <v>2814</v>
      </c>
      <c r="AZ9" s="57" t="n">
        <v>40</v>
      </c>
      <c r="BA9" s="9"/>
      <c r="BB9" s="9"/>
    </row>
    <row r="10" customFormat="false" ht="18" hidden="false" customHeight="true" outlineLevel="0" collapsed="false">
      <c r="A10" s="50"/>
      <c r="B10" s="64" t="n">
        <v>5</v>
      </c>
      <c r="C10" s="65" t="s">
        <v>2815</v>
      </c>
      <c r="D10" s="66" t="s">
        <v>2816</v>
      </c>
      <c r="E10" s="67" t="s">
        <v>2817</v>
      </c>
      <c r="F10" s="68" t="s">
        <v>2818</v>
      </c>
      <c r="G10" s="67" t="s">
        <v>2819</v>
      </c>
      <c r="H10" s="61"/>
      <c r="I10" s="67" t="s">
        <v>2820</v>
      </c>
      <c r="J10" s="68" t="s">
        <v>2821</v>
      </c>
      <c r="K10" s="67" t="s">
        <v>2822</v>
      </c>
      <c r="L10" s="68" t="s">
        <v>2823</v>
      </c>
      <c r="M10" s="67" t="s">
        <v>2824</v>
      </c>
      <c r="N10" s="69" t="s">
        <v>2825</v>
      </c>
      <c r="O10" s="66" t="s">
        <v>2826</v>
      </c>
      <c r="P10" s="68" t="s">
        <v>2827</v>
      </c>
      <c r="Q10" s="68" t="s">
        <v>2828</v>
      </c>
      <c r="R10" s="68" t="s">
        <v>2829</v>
      </c>
      <c r="S10" s="68" t="s">
        <v>2830</v>
      </c>
      <c r="T10" s="68" t="s">
        <v>2831</v>
      </c>
      <c r="U10" s="68" t="s">
        <v>2832</v>
      </c>
      <c r="V10" s="68" t="s">
        <v>2833</v>
      </c>
      <c r="W10" s="68" t="s">
        <v>2834</v>
      </c>
      <c r="X10" s="68" t="s">
        <v>2835</v>
      </c>
      <c r="Y10" s="68" t="s">
        <v>2836</v>
      </c>
      <c r="Z10" s="69" t="s">
        <v>2837</v>
      </c>
      <c r="AA10" s="66" t="s">
        <v>2838</v>
      </c>
      <c r="AB10" s="68" t="s">
        <v>2839</v>
      </c>
      <c r="AC10" s="68" t="s">
        <v>2840</v>
      </c>
      <c r="AD10" s="68" t="s">
        <v>2841</v>
      </c>
      <c r="AE10" s="68" t="s">
        <v>2842</v>
      </c>
      <c r="AF10" s="68" t="s">
        <v>2843</v>
      </c>
      <c r="AG10" s="68" t="s">
        <v>2844</v>
      </c>
      <c r="AH10" s="69" t="s">
        <v>2845</v>
      </c>
      <c r="AI10" s="66" t="s">
        <v>2846</v>
      </c>
      <c r="AJ10" s="68" t="s">
        <v>2847</v>
      </c>
      <c r="AK10" s="68" t="s">
        <v>2848</v>
      </c>
      <c r="AL10" s="68" t="s">
        <v>2849</v>
      </c>
      <c r="AM10" s="68" t="s">
        <v>2850</v>
      </c>
      <c r="AN10" s="68" t="s">
        <v>2851</v>
      </c>
      <c r="AO10" s="68" t="s">
        <v>2852</v>
      </c>
      <c r="AP10" s="68" t="s">
        <v>2853</v>
      </c>
      <c r="AQ10" s="69" t="s">
        <v>2854</v>
      </c>
      <c r="AR10" s="66" t="s">
        <v>2855</v>
      </c>
      <c r="AS10" s="68" t="s">
        <v>2856</v>
      </c>
      <c r="AT10" s="68" t="s">
        <v>2857</v>
      </c>
      <c r="AU10" s="68" t="s">
        <v>2858</v>
      </c>
      <c r="AV10" s="68" t="s">
        <v>2859</v>
      </c>
      <c r="AW10" s="69" t="s">
        <v>2860</v>
      </c>
      <c r="AX10" s="66" t="s">
        <v>2861</v>
      </c>
      <c r="AY10" s="69" t="s">
        <v>2862</v>
      </c>
      <c r="AZ10" s="57" t="n">
        <v>0</v>
      </c>
      <c r="BA10" s="9"/>
      <c r="BB10" s="9"/>
    </row>
    <row r="11" customFormat="false" ht="18" hidden="false" customHeight="true" outlineLevel="0" collapsed="false">
      <c r="A11" s="50"/>
      <c r="B11" s="60" t="n">
        <v>6</v>
      </c>
      <c r="C11" s="59" t="s">
        <v>11</v>
      </c>
      <c r="D11" s="60" t="s">
        <v>2863</v>
      </c>
      <c r="E11" s="62" t="s">
        <v>2864</v>
      </c>
      <c r="F11" s="62" t="s">
        <v>2865</v>
      </c>
      <c r="G11" s="62" t="s">
        <v>2866</v>
      </c>
      <c r="H11" s="62" t="s">
        <v>2867</v>
      </c>
      <c r="I11" s="61"/>
      <c r="J11" s="62" t="s">
        <v>2868</v>
      </c>
      <c r="K11" s="62" t="s">
        <v>2869</v>
      </c>
      <c r="L11" s="62" t="s">
        <v>2870</v>
      </c>
      <c r="M11" s="62" t="s">
        <v>2871</v>
      </c>
      <c r="N11" s="63" t="s">
        <v>2872</v>
      </c>
      <c r="O11" s="60" t="s">
        <v>2873</v>
      </c>
      <c r="P11" s="62" t="s">
        <v>2874</v>
      </c>
      <c r="Q11" s="62" t="s">
        <v>2875</v>
      </c>
      <c r="R11" s="62" t="s">
        <v>2876</v>
      </c>
      <c r="S11" s="62" t="s">
        <v>2877</v>
      </c>
      <c r="T11" s="62" t="s">
        <v>2878</v>
      </c>
      <c r="U11" s="62" t="s">
        <v>2879</v>
      </c>
      <c r="V11" s="62" t="s">
        <v>2880</v>
      </c>
      <c r="W11" s="62" t="s">
        <v>2881</v>
      </c>
      <c r="X11" s="62" t="s">
        <v>2882</v>
      </c>
      <c r="Y11" s="62" t="s">
        <v>2883</v>
      </c>
      <c r="Z11" s="63" t="s">
        <v>2884</v>
      </c>
      <c r="AA11" s="60" t="s">
        <v>2885</v>
      </c>
      <c r="AB11" s="62" t="s">
        <v>2886</v>
      </c>
      <c r="AC11" s="62" t="s">
        <v>2887</v>
      </c>
      <c r="AD11" s="62" t="s">
        <v>2888</v>
      </c>
      <c r="AE11" s="62" t="s">
        <v>2889</v>
      </c>
      <c r="AF11" s="62" t="s">
        <v>2890</v>
      </c>
      <c r="AG11" s="62" t="s">
        <v>2891</v>
      </c>
      <c r="AH11" s="63" t="s">
        <v>2892</v>
      </c>
      <c r="AI11" s="60" t="s">
        <v>2893</v>
      </c>
      <c r="AJ11" s="62" t="s">
        <v>2894</v>
      </c>
      <c r="AK11" s="62" t="s">
        <v>2895</v>
      </c>
      <c r="AL11" s="62" t="s">
        <v>2896</v>
      </c>
      <c r="AM11" s="62" t="s">
        <v>2897</v>
      </c>
      <c r="AN11" s="62" t="s">
        <v>2898</v>
      </c>
      <c r="AO11" s="62" t="s">
        <v>2899</v>
      </c>
      <c r="AP11" s="62" t="s">
        <v>2900</v>
      </c>
      <c r="AQ11" s="63" t="s">
        <v>2901</v>
      </c>
      <c r="AR11" s="60" t="s">
        <v>2902</v>
      </c>
      <c r="AS11" s="62" t="s">
        <v>2903</v>
      </c>
      <c r="AT11" s="62" t="s">
        <v>2904</v>
      </c>
      <c r="AU11" s="62" t="s">
        <v>2905</v>
      </c>
      <c r="AV11" s="62" t="s">
        <v>2906</v>
      </c>
      <c r="AW11" s="63" t="s">
        <v>2907</v>
      </c>
      <c r="AX11" s="60" t="s">
        <v>2908</v>
      </c>
      <c r="AY11" s="63" t="s">
        <v>2909</v>
      </c>
      <c r="AZ11" s="57" t="n">
        <v>35</v>
      </c>
      <c r="BA11" s="9"/>
      <c r="BB11" s="70"/>
    </row>
    <row r="12" customFormat="false" ht="18" hidden="false" customHeight="true" outlineLevel="0" collapsed="false">
      <c r="A12" s="50"/>
      <c r="B12" s="64" t="n">
        <v>7</v>
      </c>
      <c r="C12" s="65" t="s">
        <v>12</v>
      </c>
      <c r="D12" s="66" t="s">
        <v>2910</v>
      </c>
      <c r="E12" s="67" t="s">
        <v>2911</v>
      </c>
      <c r="F12" s="68" t="s">
        <v>2912</v>
      </c>
      <c r="G12" s="67" t="s">
        <v>2913</v>
      </c>
      <c r="H12" s="68" t="s">
        <v>2914</v>
      </c>
      <c r="I12" s="67" t="s">
        <v>2915</v>
      </c>
      <c r="J12" s="61"/>
      <c r="K12" s="67" t="s">
        <v>2916</v>
      </c>
      <c r="L12" s="68" t="s">
        <v>2917</v>
      </c>
      <c r="M12" s="67" t="s">
        <v>2918</v>
      </c>
      <c r="N12" s="69" t="s">
        <v>2919</v>
      </c>
      <c r="O12" s="66" t="s">
        <v>2920</v>
      </c>
      <c r="P12" s="68" t="s">
        <v>2921</v>
      </c>
      <c r="Q12" s="68" t="s">
        <v>2922</v>
      </c>
      <c r="R12" s="68" t="s">
        <v>2923</v>
      </c>
      <c r="S12" s="68" t="s">
        <v>2924</v>
      </c>
      <c r="T12" s="68" t="s">
        <v>2925</v>
      </c>
      <c r="U12" s="68" t="s">
        <v>2926</v>
      </c>
      <c r="V12" s="68" t="s">
        <v>2927</v>
      </c>
      <c r="W12" s="68" t="s">
        <v>2928</v>
      </c>
      <c r="X12" s="68" t="s">
        <v>2929</v>
      </c>
      <c r="Y12" s="68" t="s">
        <v>2930</v>
      </c>
      <c r="Z12" s="69" t="s">
        <v>2931</v>
      </c>
      <c r="AA12" s="66" t="s">
        <v>2932</v>
      </c>
      <c r="AB12" s="68" t="s">
        <v>2933</v>
      </c>
      <c r="AC12" s="68" t="s">
        <v>2934</v>
      </c>
      <c r="AD12" s="68" t="s">
        <v>2935</v>
      </c>
      <c r="AE12" s="68" t="s">
        <v>2936</v>
      </c>
      <c r="AF12" s="68" t="s">
        <v>2937</v>
      </c>
      <c r="AG12" s="68" t="s">
        <v>2938</v>
      </c>
      <c r="AH12" s="69" t="s">
        <v>2939</v>
      </c>
      <c r="AI12" s="66" t="s">
        <v>2940</v>
      </c>
      <c r="AJ12" s="68" t="s">
        <v>2941</v>
      </c>
      <c r="AK12" s="68" t="s">
        <v>2942</v>
      </c>
      <c r="AL12" s="68" t="s">
        <v>2943</v>
      </c>
      <c r="AM12" s="68" t="s">
        <v>2944</v>
      </c>
      <c r="AN12" s="68" t="s">
        <v>2945</v>
      </c>
      <c r="AO12" s="68" t="s">
        <v>2946</v>
      </c>
      <c r="AP12" s="68" t="s">
        <v>2947</v>
      </c>
      <c r="AQ12" s="69" t="s">
        <v>2948</v>
      </c>
      <c r="AR12" s="66" t="s">
        <v>2949</v>
      </c>
      <c r="AS12" s="68" t="s">
        <v>2950</v>
      </c>
      <c r="AT12" s="68" t="s">
        <v>2951</v>
      </c>
      <c r="AU12" s="68" t="s">
        <v>2952</v>
      </c>
      <c r="AV12" s="68" t="s">
        <v>2953</v>
      </c>
      <c r="AW12" s="69" t="s">
        <v>2954</v>
      </c>
      <c r="AX12" s="66" t="s">
        <v>2955</v>
      </c>
      <c r="AY12" s="69" t="s">
        <v>2956</v>
      </c>
      <c r="AZ12" s="57" t="n">
        <v>3</v>
      </c>
      <c r="BA12" s="2"/>
      <c r="BB12" s="71" t="s">
        <v>2957</v>
      </c>
      <c r="BC12" s="72"/>
      <c r="BD12" s="72"/>
    </row>
    <row r="13" customFormat="false" ht="18" hidden="false" customHeight="true" outlineLevel="0" collapsed="false">
      <c r="A13" s="50"/>
      <c r="B13" s="60" t="n">
        <v>8</v>
      </c>
      <c r="C13" s="59" t="s">
        <v>13</v>
      </c>
      <c r="D13" s="60" t="s">
        <v>2958</v>
      </c>
      <c r="E13" s="62" t="s">
        <v>2959</v>
      </c>
      <c r="F13" s="62" t="s">
        <v>2960</v>
      </c>
      <c r="G13" s="62" t="s">
        <v>2961</v>
      </c>
      <c r="H13" s="62" t="s">
        <v>2962</v>
      </c>
      <c r="I13" s="62" t="s">
        <v>2963</v>
      </c>
      <c r="J13" s="62" t="s">
        <v>2964</v>
      </c>
      <c r="K13" s="61"/>
      <c r="L13" s="62" t="s">
        <v>2965</v>
      </c>
      <c r="M13" s="62" t="s">
        <v>2966</v>
      </c>
      <c r="N13" s="63" t="s">
        <v>2967</v>
      </c>
      <c r="O13" s="60" t="s">
        <v>2968</v>
      </c>
      <c r="P13" s="62" t="s">
        <v>2969</v>
      </c>
      <c r="Q13" s="62" t="s">
        <v>2970</v>
      </c>
      <c r="R13" s="62" t="s">
        <v>2971</v>
      </c>
      <c r="S13" s="62" t="s">
        <v>2972</v>
      </c>
      <c r="T13" s="62" t="s">
        <v>2973</v>
      </c>
      <c r="U13" s="62" t="s">
        <v>2974</v>
      </c>
      <c r="V13" s="62" t="s">
        <v>2975</v>
      </c>
      <c r="W13" s="62" t="s">
        <v>2976</v>
      </c>
      <c r="X13" s="62" t="s">
        <v>2977</v>
      </c>
      <c r="Y13" s="62" t="s">
        <v>2978</v>
      </c>
      <c r="Z13" s="63" t="s">
        <v>2979</v>
      </c>
      <c r="AA13" s="60" t="s">
        <v>2980</v>
      </c>
      <c r="AB13" s="62" t="s">
        <v>2981</v>
      </c>
      <c r="AC13" s="62" t="s">
        <v>2982</v>
      </c>
      <c r="AD13" s="62" t="s">
        <v>2983</v>
      </c>
      <c r="AE13" s="62" t="s">
        <v>2984</v>
      </c>
      <c r="AF13" s="62" t="s">
        <v>2985</v>
      </c>
      <c r="AG13" s="62" t="s">
        <v>2986</v>
      </c>
      <c r="AH13" s="63" t="s">
        <v>2987</v>
      </c>
      <c r="AI13" s="60" t="s">
        <v>2988</v>
      </c>
      <c r="AJ13" s="62" t="s">
        <v>2989</v>
      </c>
      <c r="AK13" s="62" t="s">
        <v>2990</v>
      </c>
      <c r="AL13" s="62" t="s">
        <v>2991</v>
      </c>
      <c r="AM13" s="62" t="s">
        <v>2992</v>
      </c>
      <c r="AN13" s="62" t="s">
        <v>2993</v>
      </c>
      <c r="AO13" s="62" t="s">
        <v>2994</v>
      </c>
      <c r="AP13" s="62" t="s">
        <v>2995</v>
      </c>
      <c r="AQ13" s="63" t="s">
        <v>2996</v>
      </c>
      <c r="AR13" s="60" t="s">
        <v>2997</v>
      </c>
      <c r="AS13" s="62" t="s">
        <v>2998</v>
      </c>
      <c r="AT13" s="62" t="s">
        <v>2999</v>
      </c>
      <c r="AU13" s="62" t="s">
        <v>3000</v>
      </c>
      <c r="AV13" s="62" t="s">
        <v>3001</v>
      </c>
      <c r="AW13" s="63" t="s">
        <v>3002</v>
      </c>
      <c r="AX13" s="60" t="s">
        <v>3003</v>
      </c>
      <c r="AY13" s="63" t="s">
        <v>3004</v>
      </c>
      <c r="AZ13" s="57" t="n">
        <v>57</v>
      </c>
      <c r="BA13" s="73" t="s">
        <v>433</v>
      </c>
      <c r="BB13" s="73"/>
      <c r="BC13" s="72"/>
      <c r="BD13" s="72"/>
    </row>
    <row r="14" customFormat="false" ht="18" hidden="false" customHeight="true" outlineLevel="0" collapsed="false">
      <c r="A14" s="50"/>
      <c r="B14" s="64" t="n">
        <v>9</v>
      </c>
      <c r="C14" s="65" t="s">
        <v>14</v>
      </c>
      <c r="D14" s="66" t="s">
        <v>3005</v>
      </c>
      <c r="E14" s="67" t="s">
        <v>3006</v>
      </c>
      <c r="F14" s="68" t="s">
        <v>3007</v>
      </c>
      <c r="G14" s="67" t="s">
        <v>3008</v>
      </c>
      <c r="H14" s="68" t="s">
        <v>3009</v>
      </c>
      <c r="I14" s="67" t="s">
        <v>3010</v>
      </c>
      <c r="J14" s="68" t="s">
        <v>3011</v>
      </c>
      <c r="K14" s="67" t="s">
        <v>3012</v>
      </c>
      <c r="L14" s="61"/>
      <c r="M14" s="67" t="s">
        <v>3013</v>
      </c>
      <c r="N14" s="69" t="s">
        <v>3014</v>
      </c>
      <c r="O14" s="66" t="s">
        <v>3015</v>
      </c>
      <c r="P14" s="68" t="s">
        <v>3016</v>
      </c>
      <c r="Q14" s="68" t="s">
        <v>3017</v>
      </c>
      <c r="R14" s="68" t="s">
        <v>3018</v>
      </c>
      <c r="S14" s="68" t="s">
        <v>3019</v>
      </c>
      <c r="T14" s="68" t="s">
        <v>3020</v>
      </c>
      <c r="U14" s="68" t="s">
        <v>3021</v>
      </c>
      <c r="V14" s="68" t="s">
        <v>3022</v>
      </c>
      <c r="W14" s="68" t="s">
        <v>3023</v>
      </c>
      <c r="X14" s="68" t="s">
        <v>3024</v>
      </c>
      <c r="Y14" s="68" t="s">
        <v>3025</v>
      </c>
      <c r="Z14" s="69" t="s">
        <v>3026</v>
      </c>
      <c r="AA14" s="66" t="s">
        <v>3027</v>
      </c>
      <c r="AB14" s="68" t="s">
        <v>3028</v>
      </c>
      <c r="AC14" s="68" t="s">
        <v>3029</v>
      </c>
      <c r="AD14" s="68" t="s">
        <v>3030</v>
      </c>
      <c r="AE14" s="68" t="s">
        <v>3031</v>
      </c>
      <c r="AF14" s="68" t="s">
        <v>3032</v>
      </c>
      <c r="AG14" s="68" t="s">
        <v>3033</v>
      </c>
      <c r="AH14" s="69" t="s">
        <v>3034</v>
      </c>
      <c r="AI14" s="66" t="s">
        <v>3035</v>
      </c>
      <c r="AJ14" s="68" t="s">
        <v>3036</v>
      </c>
      <c r="AK14" s="68" t="s">
        <v>3037</v>
      </c>
      <c r="AL14" s="68" t="s">
        <v>3038</v>
      </c>
      <c r="AM14" s="68" t="s">
        <v>3039</v>
      </c>
      <c r="AN14" s="68" t="s">
        <v>3040</v>
      </c>
      <c r="AO14" s="68" t="s">
        <v>3041</v>
      </c>
      <c r="AP14" s="68" t="s">
        <v>3042</v>
      </c>
      <c r="AQ14" s="69" t="s">
        <v>3043</v>
      </c>
      <c r="AR14" s="66" t="s">
        <v>3044</v>
      </c>
      <c r="AS14" s="68" t="s">
        <v>3045</v>
      </c>
      <c r="AT14" s="68" t="s">
        <v>3046</v>
      </c>
      <c r="AU14" s="68" t="s">
        <v>3047</v>
      </c>
      <c r="AV14" s="68" t="s">
        <v>3048</v>
      </c>
      <c r="AW14" s="69" t="s">
        <v>3049</v>
      </c>
      <c r="AX14" s="66" t="s">
        <v>3050</v>
      </c>
      <c r="AY14" s="69" t="s">
        <v>3051</v>
      </c>
      <c r="AZ14" s="57" t="n">
        <v>13</v>
      </c>
      <c r="BA14" s="74" t="n">
        <v>1</v>
      </c>
      <c r="BB14" s="122" t="s">
        <v>481</v>
      </c>
      <c r="BC14" s="76" t="n">
        <v>20</v>
      </c>
      <c r="BD14" s="76" t="n">
        <f aca="false">_xlfn.RANK.EQ(BC14,$BC$14:$BC$53,0)</f>
        <v>15</v>
      </c>
    </row>
    <row r="15" customFormat="false" ht="18" hidden="false" customHeight="true" outlineLevel="0" collapsed="false">
      <c r="A15" s="50"/>
      <c r="B15" s="60" t="n">
        <v>10</v>
      </c>
      <c r="C15" s="59" t="s">
        <v>15</v>
      </c>
      <c r="D15" s="60" t="s">
        <v>3052</v>
      </c>
      <c r="E15" s="62" t="s">
        <v>3053</v>
      </c>
      <c r="F15" s="62" t="s">
        <v>3054</v>
      </c>
      <c r="G15" s="62" t="s">
        <v>3055</v>
      </c>
      <c r="H15" s="62" t="s">
        <v>3056</v>
      </c>
      <c r="I15" s="62" t="s">
        <v>3057</v>
      </c>
      <c r="J15" s="62" t="s">
        <v>3058</v>
      </c>
      <c r="K15" s="62" t="s">
        <v>3059</v>
      </c>
      <c r="L15" s="62" t="s">
        <v>3060</v>
      </c>
      <c r="M15" s="61"/>
      <c r="N15" s="63" t="s">
        <v>3061</v>
      </c>
      <c r="O15" s="60" t="s">
        <v>3062</v>
      </c>
      <c r="P15" s="62" t="s">
        <v>3063</v>
      </c>
      <c r="Q15" s="62" t="s">
        <v>3064</v>
      </c>
      <c r="R15" s="62" t="s">
        <v>3065</v>
      </c>
      <c r="S15" s="62" t="s">
        <v>3066</v>
      </c>
      <c r="T15" s="62" t="s">
        <v>3067</v>
      </c>
      <c r="U15" s="62" t="s">
        <v>3068</v>
      </c>
      <c r="V15" s="62" t="s">
        <v>3069</v>
      </c>
      <c r="W15" s="62" t="s">
        <v>3070</v>
      </c>
      <c r="X15" s="62" t="s">
        <v>3071</v>
      </c>
      <c r="Y15" s="62" t="s">
        <v>3072</v>
      </c>
      <c r="Z15" s="63" t="s">
        <v>3073</v>
      </c>
      <c r="AA15" s="60" t="s">
        <v>3074</v>
      </c>
      <c r="AB15" s="62" t="s">
        <v>3075</v>
      </c>
      <c r="AC15" s="62" t="s">
        <v>3076</v>
      </c>
      <c r="AD15" s="62" t="s">
        <v>3077</v>
      </c>
      <c r="AE15" s="62" t="s">
        <v>3078</v>
      </c>
      <c r="AF15" s="62" t="s">
        <v>3079</v>
      </c>
      <c r="AG15" s="62" t="s">
        <v>3080</v>
      </c>
      <c r="AH15" s="63" t="s">
        <v>3081</v>
      </c>
      <c r="AI15" s="60" t="s">
        <v>3082</v>
      </c>
      <c r="AJ15" s="62" t="s">
        <v>3083</v>
      </c>
      <c r="AK15" s="62" t="s">
        <v>3084</v>
      </c>
      <c r="AL15" s="62" t="s">
        <v>3085</v>
      </c>
      <c r="AM15" s="62" t="s">
        <v>3086</v>
      </c>
      <c r="AN15" s="62" t="s">
        <v>3087</v>
      </c>
      <c r="AO15" s="62" t="s">
        <v>3088</v>
      </c>
      <c r="AP15" s="62" t="s">
        <v>3089</v>
      </c>
      <c r="AQ15" s="63" t="s">
        <v>3090</v>
      </c>
      <c r="AR15" s="60" t="s">
        <v>3091</v>
      </c>
      <c r="AS15" s="62" t="s">
        <v>3092</v>
      </c>
      <c r="AT15" s="62" t="s">
        <v>3093</v>
      </c>
      <c r="AU15" s="62" t="s">
        <v>3094</v>
      </c>
      <c r="AV15" s="62" t="s">
        <v>3095</v>
      </c>
      <c r="AW15" s="63" t="s">
        <v>3096</v>
      </c>
      <c r="AX15" s="60" t="s">
        <v>3097</v>
      </c>
      <c r="AY15" s="63" t="s">
        <v>3098</v>
      </c>
      <c r="AZ15" s="57" t="n">
        <v>41</v>
      </c>
      <c r="BA15" s="74" t="n">
        <v>2</v>
      </c>
      <c r="BB15" s="122" t="s">
        <v>529</v>
      </c>
      <c r="BC15" s="76" t="n">
        <v>30</v>
      </c>
      <c r="BD15" s="76" t="n">
        <f aca="false">_xlfn.RANK.EQ(BC15,$BC$14:$BC$53,0)</f>
        <v>10</v>
      </c>
    </row>
    <row r="16" customFormat="false" ht="18" hidden="false" customHeight="true" outlineLevel="0" collapsed="false">
      <c r="A16" s="50"/>
      <c r="B16" s="78" t="n">
        <v>11</v>
      </c>
      <c r="C16" s="79" t="s">
        <v>530</v>
      </c>
      <c r="D16" s="80" t="s">
        <v>3099</v>
      </c>
      <c r="E16" s="81" t="s">
        <v>3100</v>
      </c>
      <c r="F16" s="82" t="s">
        <v>3101</v>
      </c>
      <c r="G16" s="81" t="s">
        <v>3102</v>
      </c>
      <c r="H16" s="82" t="s">
        <v>3103</v>
      </c>
      <c r="I16" s="81" t="s">
        <v>3104</v>
      </c>
      <c r="J16" s="82" t="s">
        <v>3105</v>
      </c>
      <c r="K16" s="81" t="s">
        <v>3106</v>
      </c>
      <c r="L16" s="81" t="s">
        <v>3107</v>
      </c>
      <c r="M16" s="81" t="s">
        <v>3108</v>
      </c>
      <c r="N16" s="83"/>
      <c r="O16" s="84" t="s">
        <v>3109</v>
      </c>
      <c r="P16" s="85" t="s">
        <v>3110</v>
      </c>
      <c r="Q16" s="85" t="s">
        <v>3111</v>
      </c>
      <c r="R16" s="85" t="s">
        <v>3112</v>
      </c>
      <c r="S16" s="85" t="s">
        <v>3113</v>
      </c>
      <c r="T16" s="85" t="s">
        <v>3114</v>
      </c>
      <c r="U16" s="85" t="s">
        <v>3115</v>
      </c>
      <c r="V16" s="85" t="s">
        <v>3116</v>
      </c>
      <c r="W16" s="85" t="s">
        <v>3117</v>
      </c>
      <c r="X16" s="85" t="s">
        <v>3118</v>
      </c>
      <c r="Y16" s="85" t="s">
        <v>3119</v>
      </c>
      <c r="Z16" s="86" t="s">
        <v>3120</v>
      </c>
      <c r="AA16" s="84" t="s">
        <v>3121</v>
      </c>
      <c r="AB16" s="85" t="s">
        <v>3122</v>
      </c>
      <c r="AC16" s="85" t="s">
        <v>3123</v>
      </c>
      <c r="AD16" s="85" t="s">
        <v>3124</v>
      </c>
      <c r="AE16" s="85" t="s">
        <v>3125</v>
      </c>
      <c r="AF16" s="85" t="s">
        <v>3126</v>
      </c>
      <c r="AG16" s="85" t="s">
        <v>3127</v>
      </c>
      <c r="AH16" s="86" t="s">
        <v>3128</v>
      </c>
      <c r="AI16" s="84" t="s">
        <v>3129</v>
      </c>
      <c r="AJ16" s="85" t="s">
        <v>3130</v>
      </c>
      <c r="AK16" s="85" t="s">
        <v>3131</v>
      </c>
      <c r="AL16" s="85" t="s">
        <v>3132</v>
      </c>
      <c r="AM16" s="85" t="s">
        <v>3133</v>
      </c>
      <c r="AN16" s="85" t="s">
        <v>3134</v>
      </c>
      <c r="AO16" s="85" t="s">
        <v>3135</v>
      </c>
      <c r="AP16" s="85" t="s">
        <v>3136</v>
      </c>
      <c r="AQ16" s="86" t="s">
        <v>3137</v>
      </c>
      <c r="AR16" s="84" t="s">
        <v>3138</v>
      </c>
      <c r="AS16" s="85" t="s">
        <v>3139</v>
      </c>
      <c r="AT16" s="85" t="s">
        <v>3140</v>
      </c>
      <c r="AU16" s="85" t="s">
        <v>3141</v>
      </c>
      <c r="AV16" s="85" t="s">
        <v>3142</v>
      </c>
      <c r="AW16" s="86" t="s">
        <v>3143</v>
      </c>
      <c r="AX16" s="84" t="s">
        <v>3144</v>
      </c>
      <c r="AY16" s="86" t="s">
        <v>3145</v>
      </c>
      <c r="AZ16" s="57" t="n">
        <v>48</v>
      </c>
      <c r="BA16" s="74" t="n">
        <v>3</v>
      </c>
      <c r="BB16" s="122" t="s">
        <v>578</v>
      </c>
      <c r="BC16" s="76" t="n">
        <v>50</v>
      </c>
      <c r="BD16" s="76" t="n">
        <f aca="false">_xlfn.RANK.EQ(BC16,$BC$14:$BC$53,0)</f>
        <v>2</v>
      </c>
    </row>
    <row r="17" customFormat="false" ht="18" hidden="false" customHeight="true" outlineLevel="0" collapsed="false">
      <c r="A17" s="87" t="s">
        <v>1</v>
      </c>
      <c r="B17" s="88" t="n">
        <v>12</v>
      </c>
      <c r="C17" s="89" t="s">
        <v>579</v>
      </c>
      <c r="D17" s="88" t="s">
        <v>3146</v>
      </c>
      <c r="E17" s="90" t="s">
        <v>3147</v>
      </c>
      <c r="F17" s="90" t="s">
        <v>3148</v>
      </c>
      <c r="G17" s="90" t="s">
        <v>3149</v>
      </c>
      <c r="H17" s="90" t="s">
        <v>3150</v>
      </c>
      <c r="I17" s="90" t="s">
        <v>3151</v>
      </c>
      <c r="J17" s="90" t="s">
        <v>3152</v>
      </c>
      <c r="K17" s="90" t="s">
        <v>3153</v>
      </c>
      <c r="L17" s="90" t="s">
        <v>3154</v>
      </c>
      <c r="M17" s="90" t="s">
        <v>3155</v>
      </c>
      <c r="N17" s="91" t="s">
        <v>3156</v>
      </c>
      <c r="O17" s="53"/>
      <c r="P17" s="90" t="s">
        <v>3157</v>
      </c>
      <c r="Q17" s="90" t="s">
        <v>3158</v>
      </c>
      <c r="R17" s="90" t="s">
        <v>3159</v>
      </c>
      <c r="S17" s="90" t="s">
        <v>3160</v>
      </c>
      <c r="T17" s="90" t="s">
        <v>3161</v>
      </c>
      <c r="U17" s="90" t="s">
        <v>3162</v>
      </c>
      <c r="V17" s="90" t="s">
        <v>3163</v>
      </c>
      <c r="W17" s="90" t="s">
        <v>3164</v>
      </c>
      <c r="X17" s="90" t="s">
        <v>3165</v>
      </c>
      <c r="Y17" s="90" t="s">
        <v>3166</v>
      </c>
      <c r="Z17" s="91" t="s">
        <v>3167</v>
      </c>
      <c r="AA17" s="88" t="s">
        <v>3168</v>
      </c>
      <c r="AB17" s="90" t="s">
        <v>3169</v>
      </c>
      <c r="AC17" s="90" t="s">
        <v>3170</v>
      </c>
      <c r="AD17" s="90" t="s">
        <v>3171</v>
      </c>
      <c r="AE17" s="90" t="s">
        <v>3172</v>
      </c>
      <c r="AF17" s="90" t="s">
        <v>3173</v>
      </c>
      <c r="AG17" s="90" t="s">
        <v>3174</v>
      </c>
      <c r="AH17" s="91" t="s">
        <v>3175</v>
      </c>
      <c r="AI17" s="88" t="s">
        <v>3176</v>
      </c>
      <c r="AJ17" s="90" t="s">
        <v>3177</v>
      </c>
      <c r="AK17" s="90" t="s">
        <v>3178</v>
      </c>
      <c r="AL17" s="90" t="s">
        <v>3179</v>
      </c>
      <c r="AM17" s="90" t="s">
        <v>3180</v>
      </c>
      <c r="AN17" s="90" t="s">
        <v>3181</v>
      </c>
      <c r="AO17" s="90" t="s">
        <v>3182</v>
      </c>
      <c r="AP17" s="90" t="s">
        <v>3183</v>
      </c>
      <c r="AQ17" s="91" t="s">
        <v>3184</v>
      </c>
      <c r="AR17" s="88" t="s">
        <v>3185</v>
      </c>
      <c r="AS17" s="90" t="s">
        <v>3186</v>
      </c>
      <c r="AT17" s="90" t="s">
        <v>3187</v>
      </c>
      <c r="AU17" s="90" t="s">
        <v>3188</v>
      </c>
      <c r="AV17" s="90" t="s">
        <v>3189</v>
      </c>
      <c r="AW17" s="91" t="s">
        <v>3190</v>
      </c>
      <c r="AX17" s="88" t="s">
        <v>3191</v>
      </c>
      <c r="AY17" s="91" t="s">
        <v>3192</v>
      </c>
      <c r="AZ17" s="57" t="n">
        <v>90</v>
      </c>
      <c r="BA17" s="74" t="n">
        <v>4</v>
      </c>
      <c r="BB17" s="122" t="s">
        <v>627</v>
      </c>
      <c r="BC17" s="76" t="n">
        <v>36</v>
      </c>
      <c r="BD17" s="76" t="n">
        <f aca="false">_xlfn.RANK.EQ(BC17,$BC$14:$BC$53,0)</f>
        <v>6</v>
      </c>
    </row>
    <row r="18" customFormat="false" ht="18" hidden="false" customHeight="true" outlineLevel="0" collapsed="false">
      <c r="A18" s="87"/>
      <c r="B18" s="64" t="n">
        <v>13</v>
      </c>
      <c r="C18" s="65" t="s">
        <v>628</v>
      </c>
      <c r="D18" s="66" t="s">
        <v>3193</v>
      </c>
      <c r="E18" s="67" t="s">
        <v>3194</v>
      </c>
      <c r="F18" s="68" t="s">
        <v>3195</v>
      </c>
      <c r="G18" s="67" t="s">
        <v>3196</v>
      </c>
      <c r="H18" s="67" t="s">
        <v>3197</v>
      </c>
      <c r="I18" s="68" t="s">
        <v>3198</v>
      </c>
      <c r="J18" s="68" t="s">
        <v>3199</v>
      </c>
      <c r="K18" s="68" t="s">
        <v>3200</v>
      </c>
      <c r="L18" s="68" t="s">
        <v>3201</v>
      </c>
      <c r="M18" s="68" t="s">
        <v>3202</v>
      </c>
      <c r="N18" s="92" t="s">
        <v>3203</v>
      </c>
      <c r="O18" s="64" t="s">
        <v>3204</v>
      </c>
      <c r="P18" s="61"/>
      <c r="Q18" s="68" t="s">
        <v>3205</v>
      </c>
      <c r="R18" s="68" t="s">
        <v>3206</v>
      </c>
      <c r="S18" s="68" t="s">
        <v>3207</v>
      </c>
      <c r="T18" s="68" t="s">
        <v>3208</v>
      </c>
      <c r="U18" s="68" t="s">
        <v>3209</v>
      </c>
      <c r="V18" s="68" t="s">
        <v>3210</v>
      </c>
      <c r="W18" s="68" t="s">
        <v>3211</v>
      </c>
      <c r="X18" s="68" t="s">
        <v>3212</v>
      </c>
      <c r="Y18" s="68" t="s">
        <v>3213</v>
      </c>
      <c r="Z18" s="69" t="s">
        <v>3214</v>
      </c>
      <c r="AA18" s="66" t="s">
        <v>3215</v>
      </c>
      <c r="AB18" s="68" t="s">
        <v>3216</v>
      </c>
      <c r="AC18" s="68" t="s">
        <v>3217</v>
      </c>
      <c r="AD18" s="68" t="s">
        <v>3218</v>
      </c>
      <c r="AE18" s="68" t="s">
        <v>3219</v>
      </c>
      <c r="AF18" s="68" t="s">
        <v>3220</v>
      </c>
      <c r="AG18" s="68" t="s">
        <v>3221</v>
      </c>
      <c r="AH18" s="69" t="s">
        <v>3222</v>
      </c>
      <c r="AI18" s="66" t="s">
        <v>3223</v>
      </c>
      <c r="AJ18" s="68" t="s">
        <v>3224</v>
      </c>
      <c r="AK18" s="68" t="s">
        <v>3225</v>
      </c>
      <c r="AL18" s="68" t="s">
        <v>3226</v>
      </c>
      <c r="AM18" s="68" t="s">
        <v>3227</v>
      </c>
      <c r="AN18" s="68" t="s">
        <v>3228</v>
      </c>
      <c r="AO18" s="68" t="s">
        <v>3229</v>
      </c>
      <c r="AP18" s="68" t="s">
        <v>3230</v>
      </c>
      <c r="AQ18" s="69" t="s">
        <v>3231</v>
      </c>
      <c r="AR18" s="66" t="s">
        <v>3232</v>
      </c>
      <c r="AS18" s="68" t="s">
        <v>3233</v>
      </c>
      <c r="AT18" s="68" t="s">
        <v>3234</v>
      </c>
      <c r="AU18" s="68" t="s">
        <v>3235</v>
      </c>
      <c r="AV18" s="68" t="s">
        <v>3236</v>
      </c>
      <c r="AW18" s="69" t="s">
        <v>3237</v>
      </c>
      <c r="AX18" s="66" t="s">
        <v>3238</v>
      </c>
      <c r="AY18" s="69" t="s">
        <v>3239</v>
      </c>
      <c r="AZ18" s="57" t="n">
        <v>36</v>
      </c>
      <c r="BA18" s="74" t="n">
        <v>5</v>
      </c>
      <c r="BB18" s="122" t="s">
        <v>676</v>
      </c>
      <c r="BC18" s="76" t="n">
        <v>21</v>
      </c>
      <c r="BD18" s="76" t="n">
        <f aca="false">_xlfn.RANK.EQ(BC18,$BC$14:$BC$53,0)</f>
        <v>14</v>
      </c>
    </row>
    <row r="19" customFormat="false" ht="18" hidden="false" customHeight="true" outlineLevel="0" collapsed="false">
      <c r="A19" s="87"/>
      <c r="B19" s="60" t="n">
        <v>14</v>
      </c>
      <c r="C19" s="59" t="s">
        <v>19</v>
      </c>
      <c r="D19" s="60" t="s">
        <v>3240</v>
      </c>
      <c r="E19" s="62" t="s">
        <v>3241</v>
      </c>
      <c r="F19" s="62" t="s">
        <v>3242</v>
      </c>
      <c r="G19" s="62" t="s">
        <v>3243</v>
      </c>
      <c r="H19" s="62" t="s">
        <v>3244</v>
      </c>
      <c r="I19" s="62" t="s">
        <v>3245</v>
      </c>
      <c r="J19" s="62" t="s">
        <v>3246</v>
      </c>
      <c r="K19" s="62" t="s">
        <v>3247</v>
      </c>
      <c r="L19" s="62" t="s">
        <v>3248</v>
      </c>
      <c r="M19" s="62" t="s">
        <v>3249</v>
      </c>
      <c r="N19" s="63" t="s">
        <v>3250</v>
      </c>
      <c r="O19" s="60" t="s">
        <v>3251</v>
      </c>
      <c r="P19" s="62" t="s">
        <v>3252</v>
      </c>
      <c r="Q19" s="61"/>
      <c r="R19" s="62" t="s">
        <v>3253</v>
      </c>
      <c r="S19" s="62" t="s">
        <v>3254</v>
      </c>
      <c r="T19" s="62" t="s">
        <v>3255</v>
      </c>
      <c r="U19" s="62" t="s">
        <v>3256</v>
      </c>
      <c r="V19" s="62" t="s">
        <v>3257</v>
      </c>
      <c r="W19" s="62" t="s">
        <v>3258</v>
      </c>
      <c r="X19" s="62" t="s">
        <v>3259</v>
      </c>
      <c r="Y19" s="62" t="s">
        <v>3260</v>
      </c>
      <c r="Z19" s="63" t="s">
        <v>3261</v>
      </c>
      <c r="AA19" s="60" t="s">
        <v>3262</v>
      </c>
      <c r="AB19" s="62" t="s">
        <v>3263</v>
      </c>
      <c r="AC19" s="62" t="s">
        <v>3264</v>
      </c>
      <c r="AD19" s="62" t="s">
        <v>3265</v>
      </c>
      <c r="AE19" s="62" t="s">
        <v>3266</v>
      </c>
      <c r="AF19" s="62" t="s">
        <v>3267</v>
      </c>
      <c r="AG19" s="62" t="s">
        <v>3268</v>
      </c>
      <c r="AH19" s="63" t="s">
        <v>3269</v>
      </c>
      <c r="AI19" s="60" t="s">
        <v>3270</v>
      </c>
      <c r="AJ19" s="62" t="s">
        <v>3271</v>
      </c>
      <c r="AK19" s="62" t="s">
        <v>3272</v>
      </c>
      <c r="AL19" s="62" t="s">
        <v>3273</v>
      </c>
      <c r="AM19" s="62" t="s">
        <v>3274</v>
      </c>
      <c r="AN19" s="62" t="s">
        <v>3275</v>
      </c>
      <c r="AO19" s="62" t="s">
        <v>3276</v>
      </c>
      <c r="AP19" s="62" t="s">
        <v>3277</v>
      </c>
      <c r="AQ19" s="63" t="s">
        <v>3278</v>
      </c>
      <c r="AR19" s="60" t="s">
        <v>3279</v>
      </c>
      <c r="AS19" s="62" t="s">
        <v>3280</v>
      </c>
      <c r="AT19" s="62" t="s">
        <v>3281</v>
      </c>
      <c r="AU19" s="62" t="s">
        <v>3282</v>
      </c>
      <c r="AV19" s="62" t="s">
        <v>3283</v>
      </c>
      <c r="AW19" s="63" t="s">
        <v>3284</v>
      </c>
      <c r="AX19" s="60" t="s">
        <v>3285</v>
      </c>
      <c r="AY19" s="63" t="s">
        <v>3286</v>
      </c>
      <c r="AZ19" s="57" t="n">
        <v>24</v>
      </c>
      <c r="BA19" s="74" t="n">
        <v>6</v>
      </c>
      <c r="BB19" s="122" t="s">
        <v>724</v>
      </c>
      <c r="BC19" s="76" t="n">
        <v>5</v>
      </c>
      <c r="BD19" s="76" t="n">
        <f aca="false">_xlfn.RANK.EQ(BC19,$BC$14:$BC$53,0)</f>
        <v>29</v>
      </c>
    </row>
    <row r="20" customFormat="false" ht="18" hidden="false" customHeight="true" outlineLevel="0" collapsed="false">
      <c r="A20" s="87"/>
      <c r="B20" s="64" t="n">
        <v>15</v>
      </c>
      <c r="C20" s="65" t="s">
        <v>20</v>
      </c>
      <c r="D20" s="66" t="s">
        <v>3287</v>
      </c>
      <c r="E20" s="67" t="s">
        <v>3288</v>
      </c>
      <c r="F20" s="68" t="s">
        <v>3289</v>
      </c>
      <c r="G20" s="67" t="s">
        <v>3290</v>
      </c>
      <c r="H20" s="67" t="s">
        <v>3291</v>
      </c>
      <c r="I20" s="68" t="s">
        <v>3292</v>
      </c>
      <c r="J20" s="68" t="s">
        <v>3293</v>
      </c>
      <c r="K20" s="68" t="s">
        <v>3294</v>
      </c>
      <c r="L20" s="68" t="s">
        <v>3295</v>
      </c>
      <c r="M20" s="68" t="s">
        <v>3296</v>
      </c>
      <c r="N20" s="69" t="s">
        <v>3297</v>
      </c>
      <c r="O20" s="66" t="s">
        <v>3298</v>
      </c>
      <c r="P20" s="67" t="s">
        <v>3299</v>
      </c>
      <c r="Q20" s="67" t="s">
        <v>3300</v>
      </c>
      <c r="R20" s="61"/>
      <c r="S20" s="68" t="s">
        <v>3301</v>
      </c>
      <c r="T20" s="68" t="s">
        <v>3302</v>
      </c>
      <c r="U20" s="68" t="s">
        <v>3303</v>
      </c>
      <c r="V20" s="68" t="s">
        <v>3304</v>
      </c>
      <c r="W20" s="68" t="s">
        <v>3305</v>
      </c>
      <c r="X20" s="68" t="s">
        <v>3306</v>
      </c>
      <c r="Y20" s="68" t="s">
        <v>3307</v>
      </c>
      <c r="Z20" s="69" t="s">
        <v>3308</v>
      </c>
      <c r="AA20" s="66" t="s">
        <v>3309</v>
      </c>
      <c r="AB20" s="68" t="s">
        <v>3310</v>
      </c>
      <c r="AC20" s="68" t="s">
        <v>3311</v>
      </c>
      <c r="AD20" s="68" t="s">
        <v>3312</v>
      </c>
      <c r="AE20" s="68" t="s">
        <v>3313</v>
      </c>
      <c r="AF20" s="68" t="s">
        <v>3314</v>
      </c>
      <c r="AG20" s="68" t="s">
        <v>3315</v>
      </c>
      <c r="AH20" s="69" t="s">
        <v>3316</v>
      </c>
      <c r="AI20" s="66" t="s">
        <v>3317</v>
      </c>
      <c r="AJ20" s="68" t="s">
        <v>3318</v>
      </c>
      <c r="AK20" s="68" t="s">
        <v>3319</v>
      </c>
      <c r="AL20" s="68" t="s">
        <v>3320</v>
      </c>
      <c r="AM20" s="68" t="s">
        <v>3321</v>
      </c>
      <c r="AN20" s="68" t="s">
        <v>3322</v>
      </c>
      <c r="AO20" s="68" t="s">
        <v>3323</v>
      </c>
      <c r="AP20" s="68" t="s">
        <v>3324</v>
      </c>
      <c r="AQ20" s="69" t="s">
        <v>3325</v>
      </c>
      <c r="AR20" s="66" t="s">
        <v>3326</v>
      </c>
      <c r="AS20" s="68" t="s">
        <v>3327</v>
      </c>
      <c r="AT20" s="68" t="s">
        <v>3328</v>
      </c>
      <c r="AU20" s="68" t="s">
        <v>3329</v>
      </c>
      <c r="AV20" s="68" t="s">
        <v>3330</v>
      </c>
      <c r="AW20" s="69" t="s">
        <v>3331</v>
      </c>
      <c r="AX20" s="66" t="s">
        <v>3332</v>
      </c>
      <c r="AY20" s="69" t="s">
        <v>3333</v>
      </c>
      <c r="AZ20" s="57" t="n">
        <v>74</v>
      </c>
      <c r="BA20" s="74" t="n">
        <v>7</v>
      </c>
      <c r="BB20" s="122" t="s">
        <v>772</v>
      </c>
      <c r="BC20" s="76" t="n">
        <v>10</v>
      </c>
      <c r="BD20" s="76" t="n">
        <f aca="false">_xlfn.RANK.EQ(BC20,$BC$14:$BC$53,0)</f>
        <v>24</v>
      </c>
    </row>
    <row r="21" customFormat="false" ht="18" hidden="false" customHeight="true" outlineLevel="0" collapsed="false">
      <c r="A21" s="87"/>
      <c r="B21" s="60" t="n">
        <v>16</v>
      </c>
      <c r="C21" s="59" t="s">
        <v>773</v>
      </c>
      <c r="D21" s="60" t="s">
        <v>3334</v>
      </c>
      <c r="E21" s="62" t="s">
        <v>3335</v>
      </c>
      <c r="F21" s="62" t="s">
        <v>3336</v>
      </c>
      <c r="G21" s="62" t="s">
        <v>3337</v>
      </c>
      <c r="H21" s="62" t="s">
        <v>3338</v>
      </c>
      <c r="I21" s="62" t="s">
        <v>3339</v>
      </c>
      <c r="J21" s="62" t="s">
        <v>3340</v>
      </c>
      <c r="K21" s="62" t="s">
        <v>3341</v>
      </c>
      <c r="L21" s="62" t="s">
        <v>3342</v>
      </c>
      <c r="M21" s="62" t="s">
        <v>3343</v>
      </c>
      <c r="N21" s="63" t="s">
        <v>3344</v>
      </c>
      <c r="O21" s="60" t="s">
        <v>3345</v>
      </c>
      <c r="P21" s="62" t="s">
        <v>3346</v>
      </c>
      <c r="Q21" s="62" t="s">
        <v>3347</v>
      </c>
      <c r="R21" s="62" t="s">
        <v>3348</v>
      </c>
      <c r="S21" s="61"/>
      <c r="T21" s="62" t="s">
        <v>3349</v>
      </c>
      <c r="U21" s="62" t="s">
        <v>3350</v>
      </c>
      <c r="V21" s="62" t="s">
        <v>3351</v>
      </c>
      <c r="W21" s="62" t="s">
        <v>3352</v>
      </c>
      <c r="X21" s="62" t="s">
        <v>3353</v>
      </c>
      <c r="Y21" s="62" t="s">
        <v>3354</v>
      </c>
      <c r="Z21" s="63" t="s">
        <v>3355</v>
      </c>
      <c r="AA21" s="60" t="s">
        <v>3356</v>
      </c>
      <c r="AB21" s="62" t="s">
        <v>3357</v>
      </c>
      <c r="AC21" s="62" t="s">
        <v>3358</v>
      </c>
      <c r="AD21" s="62" t="s">
        <v>3359</v>
      </c>
      <c r="AE21" s="62" t="s">
        <v>3360</v>
      </c>
      <c r="AF21" s="62" t="s">
        <v>3361</v>
      </c>
      <c r="AG21" s="62" t="s">
        <v>3362</v>
      </c>
      <c r="AH21" s="63" t="s">
        <v>3363</v>
      </c>
      <c r="AI21" s="60" t="s">
        <v>3364</v>
      </c>
      <c r="AJ21" s="62" t="s">
        <v>3365</v>
      </c>
      <c r="AK21" s="62" t="s">
        <v>3366</v>
      </c>
      <c r="AL21" s="62" t="s">
        <v>3367</v>
      </c>
      <c r="AM21" s="62" t="s">
        <v>3368</v>
      </c>
      <c r="AN21" s="62" t="s">
        <v>3369</v>
      </c>
      <c r="AO21" s="62" t="s">
        <v>3370</v>
      </c>
      <c r="AP21" s="62" t="s">
        <v>3371</v>
      </c>
      <c r="AQ21" s="63" t="s">
        <v>3372</v>
      </c>
      <c r="AR21" s="60" t="s">
        <v>3373</v>
      </c>
      <c r="AS21" s="62" t="s">
        <v>3374</v>
      </c>
      <c r="AT21" s="62" t="s">
        <v>3375</v>
      </c>
      <c r="AU21" s="62" t="s">
        <v>3376</v>
      </c>
      <c r="AV21" s="62" t="s">
        <v>3377</v>
      </c>
      <c r="AW21" s="63" t="s">
        <v>3378</v>
      </c>
      <c r="AX21" s="60" t="s">
        <v>3379</v>
      </c>
      <c r="AY21" s="63" t="s">
        <v>3380</v>
      </c>
      <c r="AZ21" s="57" t="n">
        <v>89</v>
      </c>
      <c r="BA21" s="74" t="n">
        <v>8</v>
      </c>
      <c r="BB21" s="122" t="s">
        <v>821</v>
      </c>
      <c r="BC21" s="76" t="n">
        <v>2</v>
      </c>
      <c r="BD21" s="76" t="n">
        <f aca="false">_xlfn.RANK.EQ(BC21,$BC$14:$BC$53,0)</f>
        <v>34</v>
      </c>
    </row>
    <row r="22" customFormat="false" ht="18" hidden="false" customHeight="true" outlineLevel="0" collapsed="false">
      <c r="A22" s="87"/>
      <c r="B22" s="64" t="n">
        <v>17</v>
      </c>
      <c r="C22" s="65" t="s">
        <v>822</v>
      </c>
      <c r="D22" s="66" t="s">
        <v>3381</v>
      </c>
      <c r="E22" s="67" t="s">
        <v>3382</v>
      </c>
      <c r="F22" s="68" t="s">
        <v>3383</v>
      </c>
      <c r="G22" s="67" t="s">
        <v>3384</v>
      </c>
      <c r="H22" s="67" t="s">
        <v>3385</v>
      </c>
      <c r="I22" s="68" t="s">
        <v>3386</v>
      </c>
      <c r="J22" s="68" t="s">
        <v>3387</v>
      </c>
      <c r="K22" s="68" t="s">
        <v>3388</v>
      </c>
      <c r="L22" s="68" t="s">
        <v>3389</v>
      </c>
      <c r="M22" s="68" t="s">
        <v>3390</v>
      </c>
      <c r="N22" s="69" t="s">
        <v>3391</v>
      </c>
      <c r="O22" s="66" t="s">
        <v>3392</v>
      </c>
      <c r="P22" s="67" t="s">
        <v>3393</v>
      </c>
      <c r="Q22" s="67" t="s">
        <v>3394</v>
      </c>
      <c r="R22" s="67" t="s">
        <v>3395</v>
      </c>
      <c r="S22" s="68" t="s">
        <v>3396</v>
      </c>
      <c r="T22" s="61"/>
      <c r="U22" s="68" t="s">
        <v>3397</v>
      </c>
      <c r="V22" s="68" t="s">
        <v>3398</v>
      </c>
      <c r="W22" s="68" t="s">
        <v>3399</v>
      </c>
      <c r="X22" s="68" t="s">
        <v>3400</v>
      </c>
      <c r="Y22" s="68" t="s">
        <v>3401</v>
      </c>
      <c r="Z22" s="69" t="s">
        <v>3402</v>
      </c>
      <c r="AA22" s="66" t="s">
        <v>3403</v>
      </c>
      <c r="AB22" s="68" t="s">
        <v>3404</v>
      </c>
      <c r="AC22" s="68" t="s">
        <v>3405</v>
      </c>
      <c r="AD22" s="68" t="s">
        <v>3406</v>
      </c>
      <c r="AE22" s="68" t="s">
        <v>3407</v>
      </c>
      <c r="AF22" s="68" t="s">
        <v>3408</v>
      </c>
      <c r="AG22" s="68" t="s">
        <v>3409</v>
      </c>
      <c r="AH22" s="69" t="s">
        <v>3410</v>
      </c>
      <c r="AI22" s="66" t="s">
        <v>3411</v>
      </c>
      <c r="AJ22" s="68" t="s">
        <v>3412</v>
      </c>
      <c r="AK22" s="68" t="s">
        <v>3413</v>
      </c>
      <c r="AL22" s="68" t="s">
        <v>3414</v>
      </c>
      <c r="AM22" s="68" t="s">
        <v>3415</v>
      </c>
      <c r="AN22" s="68" t="s">
        <v>3416</v>
      </c>
      <c r="AO22" s="68" t="s">
        <v>3417</v>
      </c>
      <c r="AP22" s="68" t="s">
        <v>3418</v>
      </c>
      <c r="AQ22" s="69" t="s">
        <v>3419</v>
      </c>
      <c r="AR22" s="66" t="s">
        <v>3420</v>
      </c>
      <c r="AS22" s="68" t="s">
        <v>3421</v>
      </c>
      <c r="AT22" s="68" t="s">
        <v>3422</v>
      </c>
      <c r="AU22" s="68" t="s">
        <v>3423</v>
      </c>
      <c r="AV22" s="68" t="s">
        <v>3424</v>
      </c>
      <c r="AW22" s="69" t="s">
        <v>3425</v>
      </c>
      <c r="AX22" s="66" t="s">
        <v>3426</v>
      </c>
      <c r="AY22" s="69" t="s">
        <v>3427</v>
      </c>
      <c r="AZ22" s="57" t="n">
        <v>37</v>
      </c>
      <c r="BA22" s="74" t="n">
        <v>9</v>
      </c>
      <c r="BB22" s="122" t="s">
        <v>870</v>
      </c>
      <c r="BC22" s="76" t="n">
        <v>11</v>
      </c>
      <c r="BD22" s="76" t="n">
        <f aca="false">_xlfn.RANK.EQ(BC22,$BC$14:$BC$53,0)</f>
        <v>21</v>
      </c>
    </row>
    <row r="23" customFormat="false" ht="18" hidden="false" customHeight="true" outlineLevel="0" collapsed="false">
      <c r="A23" s="87"/>
      <c r="B23" s="60" t="n">
        <v>18</v>
      </c>
      <c r="C23" s="59" t="s">
        <v>23</v>
      </c>
      <c r="D23" s="60" t="s">
        <v>3428</v>
      </c>
      <c r="E23" s="62" t="s">
        <v>3429</v>
      </c>
      <c r="F23" s="62" t="s">
        <v>3430</v>
      </c>
      <c r="G23" s="62" t="s">
        <v>3431</v>
      </c>
      <c r="H23" s="62" t="s">
        <v>3432</v>
      </c>
      <c r="I23" s="62" t="s">
        <v>3433</v>
      </c>
      <c r="J23" s="62" t="s">
        <v>3434</v>
      </c>
      <c r="K23" s="62" t="s">
        <v>3435</v>
      </c>
      <c r="L23" s="62" t="s">
        <v>3436</v>
      </c>
      <c r="M23" s="62" t="s">
        <v>3437</v>
      </c>
      <c r="N23" s="63" t="s">
        <v>3438</v>
      </c>
      <c r="O23" s="60" t="s">
        <v>3439</v>
      </c>
      <c r="P23" s="62" t="s">
        <v>3440</v>
      </c>
      <c r="Q23" s="62" t="s">
        <v>3441</v>
      </c>
      <c r="R23" s="62" t="s">
        <v>3442</v>
      </c>
      <c r="S23" s="62" t="s">
        <v>3443</v>
      </c>
      <c r="T23" s="62" t="s">
        <v>3444</v>
      </c>
      <c r="U23" s="61"/>
      <c r="V23" s="62" t="s">
        <v>3445</v>
      </c>
      <c r="W23" s="62" t="s">
        <v>3446</v>
      </c>
      <c r="X23" s="62" t="s">
        <v>3447</v>
      </c>
      <c r="Y23" s="62" t="s">
        <v>3448</v>
      </c>
      <c r="Z23" s="63" t="s">
        <v>3449</v>
      </c>
      <c r="AA23" s="60" t="s">
        <v>3450</v>
      </c>
      <c r="AB23" s="62" t="s">
        <v>3451</v>
      </c>
      <c r="AC23" s="62" t="s">
        <v>3452</v>
      </c>
      <c r="AD23" s="62" t="s">
        <v>3453</v>
      </c>
      <c r="AE23" s="62" t="s">
        <v>3454</v>
      </c>
      <c r="AF23" s="62" t="s">
        <v>3455</v>
      </c>
      <c r="AG23" s="62" t="s">
        <v>3456</v>
      </c>
      <c r="AH23" s="63" t="s">
        <v>3457</v>
      </c>
      <c r="AI23" s="60" t="s">
        <v>3458</v>
      </c>
      <c r="AJ23" s="62" t="s">
        <v>3459</v>
      </c>
      <c r="AK23" s="62" t="s">
        <v>3460</v>
      </c>
      <c r="AL23" s="62" t="s">
        <v>3461</v>
      </c>
      <c r="AM23" s="62" t="s">
        <v>3462</v>
      </c>
      <c r="AN23" s="62" t="s">
        <v>3463</v>
      </c>
      <c r="AO23" s="62" t="s">
        <v>3464</v>
      </c>
      <c r="AP23" s="62" t="s">
        <v>3465</v>
      </c>
      <c r="AQ23" s="63" t="s">
        <v>3466</v>
      </c>
      <c r="AR23" s="60" t="s">
        <v>3467</v>
      </c>
      <c r="AS23" s="62" t="s">
        <v>3468</v>
      </c>
      <c r="AT23" s="62" t="s">
        <v>3469</v>
      </c>
      <c r="AU23" s="62" t="s">
        <v>3470</v>
      </c>
      <c r="AV23" s="62" t="s">
        <v>3471</v>
      </c>
      <c r="AW23" s="63" t="s">
        <v>3472</v>
      </c>
      <c r="AX23" s="60" t="s">
        <v>3473</v>
      </c>
      <c r="AY23" s="63" t="s">
        <v>3474</v>
      </c>
      <c r="AZ23" s="57" t="n">
        <v>43</v>
      </c>
      <c r="BA23" s="74" t="n">
        <v>10</v>
      </c>
      <c r="BB23" s="122" t="s">
        <v>918</v>
      </c>
      <c r="BC23" s="76" t="n">
        <v>43</v>
      </c>
      <c r="BD23" s="76" t="n">
        <f aca="false">_xlfn.RANK.EQ(BC23,$BC$14:$BC$53,0)</f>
        <v>4</v>
      </c>
    </row>
    <row r="24" customFormat="false" ht="18" hidden="false" customHeight="true" outlineLevel="0" collapsed="false">
      <c r="A24" s="87"/>
      <c r="B24" s="64" t="n">
        <v>19</v>
      </c>
      <c r="C24" s="65" t="s">
        <v>24</v>
      </c>
      <c r="D24" s="66" t="s">
        <v>3475</v>
      </c>
      <c r="E24" s="67" t="s">
        <v>3476</v>
      </c>
      <c r="F24" s="68" t="s">
        <v>3477</v>
      </c>
      <c r="G24" s="67" t="s">
        <v>3478</v>
      </c>
      <c r="H24" s="67" t="s">
        <v>3479</v>
      </c>
      <c r="I24" s="68" t="s">
        <v>3480</v>
      </c>
      <c r="J24" s="68" t="s">
        <v>3481</v>
      </c>
      <c r="K24" s="68" t="s">
        <v>3482</v>
      </c>
      <c r="L24" s="68" t="s">
        <v>3483</v>
      </c>
      <c r="M24" s="68" t="s">
        <v>3484</v>
      </c>
      <c r="N24" s="69" t="s">
        <v>3485</v>
      </c>
      <c r="O24" s="66" t="s">
        <v>3486</v>
      </c>
      <c r="P24" s="68" t="s">
        <v>3487</v>
      </c>
      <c r="Q24" s="68" t="s">
        <v>3488</v>
      </c>
      <c r="R24" s="68" t="s">
        <v>3489</v>
      </c>
      <c r="S24" s="68" t="s">
        <v>3490</v>
      </c>
      <c r="T24" s="67" t="s">
        <v>3491</v>
      </c>
      <c r="U24" s="67" t="s">
        <v>3492</v>
      </c>
      <c r="V24" s="61"/>
      <c r="W24" s="68" t="s">
        <v>3493</v>
      </c>
      <c r="X24" s="68" t="s">
        <v>3494</v>
      </c>
      <c r="Y24" s="68" t="s">
        <v>3495</v>
      </c>
      <c r="Z24" s="69" t="s">
        <v>3496</v>
      </c>
      <c r="AA24" s="66" t="s">
        <v>3497</v>
      </c>
      <c r="AB24" s="68" t="s">
        <v>3498</v>
      </c>
      <c r="AC24" s="68" t="s">
        <v>3499</v>
      </c>
      <c r="AD24" s="68" t="s">
        <v>3500</v>
      </c>
      <c r="AE24" s="68" t="s">
        <v>3501</v>
      </c>
      <c r="AF24" s="68" t="s">
        <v>3502</v>
      </c>
      <c r="AG24" s="68" t="s">
        <v>3503</v>
      </c>
      <c r="AH24" s="69" t="s">
        <v>3504</v>
      </c>
      <c r="AI24" s="66" t="s">
        <v>3505</v>
      </c>
      <c r="AJ24" s="68" t="s">
        <v>3506</v>
      </c>
      <c r="AK24" s="68" t="s">
        <v>3507</v>
      </c>
      <c r="AL24" s="68" t="s">
        <v>3508</v>
      </c>
      <c r="AM24" s="68" t="s">
        <v>3509</v>
      </c>
      <c r="AN24" s="68" t="s">
        <v>3510</v>
      </c>
      <c r="AO24" s="68" t="s">
        <v>3511</v>
      </c>
      <c r="AP24" s="68" t="s">
        <v>3512</v>
      </c>
      <c r="AQ24" s="69" t="s">
        <v>3513</v>
      </c>
      <c r="AR24" s="66" t="s">
        <v>3514</v>
      </c>
      <c r="AS24" s="68" t="s">
        <v>3515</v>
      </c>
      <c r="AT24" s="68" t="s">
        <v>3516</v>
      </c>
      <c r="AU24" s="68" t="s">
        <v>3517</v>
      </c>
      <c r="AV24" s="68" t="s">
        <v>3518</v>
      </c>
      <c r="AW24" s="69" t="s">
        <v>3519</v>
      </c>
      <c r="AX24" s="66" t="s">
        <v>3520</v>
      </c>
      <c r="AY24" s="69" t="s">
        <v>3521</v>
      </c>
      <c r="AZ24" s="57" t="n">
        <v>69</v>
      </c>
      <c r="BA24" s="74" t="n">
        <v>11</v>
      </c>
      <c r="BB24" s="122" t="s">
        <v>966</v>
      </c>
      <c r="BC24" s="76" t="n">
        <v>0</v>
      </c>
      <c r="BD24" s="76" t="n">
        <f aca="false">_xlfn.RANK.EQ(BC24,$BC$14:$BC$53,0)</f>
        <v>39</v>
      </c>
    </row>
    <row r="25" customFormat="false" ht="18" hidden="false" customHeight="true" outlineLevel="0" collapsed="false">
      <c r="A25" s="87"/>
      <c r="B25" s="60" t="n">
        <v>20</v>
      </c>
      <c r="C25" s="59" t="s">
        <v>25</v>
      </c>
      <c r="D25" s="60" t="s">
        <v>3522</v>
      </c>
      <c r="E25" s="62" t="s">
        <v>3523</v>
      </c>
      <c r="F25" s="62" t="s">
        <v>3524</v>
      </c>
      <c r="G25" s="62" t="s">
        <v>3525</v>
      </c>
      <c r="H25" s="62" t="s">
        <v>3526</v>
      </c>
      <c r="I25" s="62" t="s">
        <v>3527</v>
      </c>
      <c r="J25" s="62" t="s">
        <v>3528</v>
      </c>
      <c r="K25" s="62" t="s">
        <v>3529</v>
      </c>
      <c r="L25" s="62" t="s">
        <v>3530</v>
      </c>
      <c r="M25" s="62" t="s">
        <v>3531</v>
      </c>
      <c r="N25" s="63" t="s">
        <v>3532</v>
      </c>
      <c r="O25" s="60" t="s">
        <v>3533</v>
      </c>
      <c r="P25" s="62" t="s">
        <v>3534</v>
      </c>
      <c r="Q25" s="62" t="s">
        <v>3535</v>
      </c>
      <c r="R25" s="62" t="s">
        <v>3536</v>
      </c>
      <c r="S25" s="62" t="s">
        <v>3537</v>
      </c>
      <c r="T25" s="62" t="s">
        <v>3538</v>
      </c>
      <c r="U25" s="62" t="s">
        <v>3539</v>
      </c>
      <c r="V25" s="62" t="s">
        <v>3540</v>
      </c>
      <c r="W25" s="61"/>
      <c r="X25" s="62" t="s">
        <v>3541</v>
      </c>
      <c r="Y25" s="62" t="s">
        <v>3542</v>
      </c>
      <c r="Z25" s="63" t="s">
        <v>3543</v>
      </c>
      <c r="AA25" s="60" t="s">
        <v>3544</v>
      </c>
      <c r="AB25" s="62" t="s">
        <v>3545</v>
      </c>
      <c r="AC25" s="62" t="s">
        <v>3546</v>
      </c>
      <c r="AD25" s="62" t="s">
        <v>3547</v>
      </c>
      <c r="AE25" s="62" t="s">
        <v>3548</v>
      </c>
      <c r="AF25" s="62" t="s">
        <v>3549</v>
      </c>
      <c r="AG25" s="62" t="s">
        <v>3550</v>
      </c>
      <c r="AH25" s="63" t="s">
        <v>3551</v>
      </c>
      <c r="AI25" s="60" t="s">
        <v>3552</v>
      </c>
      <c r="AJ25" s="62" t="s">
        <v>3553</v>
      </c>
      <c r="AK25" s="62" t="s">
        <v>3554</v>
      </c>
      <c r="AL25" s="62" t="s">
        <v>3555</v>
      </c>
      <c r="AM25" s="62" t="s">
        <v>3556</v>
      </c>
      <c r="AN25" s="62" t="s">
        <v>3557</v>
      </c>
      <c r="AO25" s="62" t="s">
        <v>3558</v>
      </c>
      <c r="AP25" s="62" t="s">
        <v>3559</v>
      </c>
      <c r="AQ25" s="63" t="s">
        <v>3560</v>
      </c>
      <c r="AR25" s="60" t="s">
        <v>3561</v>
      </c>
      <c r="AS25" s="62" t="s">
        <v>3562</v>
      </c>
      <c r="AT25" s="62" t="s">
        <v>3563</v>
      </c>
      <c r="AU25" s="62" t="s">
        <v>3564</v>
      </c>
      <c r="AV25" s="62" t="s">
        <v>3565</v>
      </c>
      <c r="AW25" s="63" t="s">
        <v>3566</v>
      </c>
      <c r="AX25" s="60" t="s">
        <v>3567</v>
      </c>
      <c r="AY25" s="63" t="s">
        <v>3568</v>
      </c>
      <c r="AZ25" s="57" t="n">
        <v>15</v>
      </c>
      <c r="BA25" s="74" t="n">
        <v>12</v>
      </c>
      <c r="BB25" s="122" t="s">
        <v>1014</v>
      </c>
      <c r="BC25" s="76" t="n">
        <v>36</v>
      </c>
      <c r="BD25" s="76" t="n">
        <f aca="false">_xlfn.RANK.EQ(BC25,$BC$14:$BC$53,0)</f>
        <v>6</v>
      </c>
    </row>
    <row r="26" customFormat="false" ht="18" hidden="false" customHeight="true" outlineLevel="0" collapsed="false">
      <c r="A26" s="87"/>
      <c r="B26" s="64" t="n">
        <v>21</v>
      </c>
      <c r="C26" s="65" t="s">
        <v>26</v>
      </c>
      <c r="D26" s="66" t="s">
        <v>3569</v>
      </c>
      <c r="E26" s="67" t="s">
        <v>3570</v>
      </c>
      <c r="F26" s="68" t="s">
        <v>3571</v>
      </c>
      <c r="G26" s="67" t="s">
        <v>3572</v>
      </c>
      <c r="H26" s="67" t="s">
        <v>3573</v>
      </c>
      <c r="I26" s="68" t="s">
        <v>3574</v>
      </c>
      <c r="J26" s="68" t="s">
        <v>3575</v>
      </c>
      <c r="K26" s="68" t="s">
        <v>3576</v>
      </c>
      <c r="L26" s="68" t="s">
        <v>3577</v>
      </c>
      <c r="M26" s="68" t="s">
        <v>3578</v>
      </c>
      <c r="N26" s="69" t="s">
        <v>3579</v>
      </c>
      <c r="O26" s="66" t="s">
        <v>3580</v>
      </c>
      <c r="P26" s="68" t="s">
        <v>3581</v>
      </c>
      <c r="Q26" s="68" t="s">
        <v>3582</v>
      </c>
      <c r="R26" s="68" t="s">
        <v>3583</v>
      </c>
      <c r="S26" s="68" t="s">
        <v>3584</v>
      </c>
      <c r="T26" s="68" t="s">
        <v>3585</v>
      </c>
      <c r="U26" s="68" t="s">
        <v>3586</v>
      </c>
      <c r="V26" s="67" t="s">
        <v>3587</v>
      </c>
      <c r="W26" s="67" t="s">
        <v>3588</v>
      </c>
      <c r="X26" s="61"/>
      <c r="Y26" s="68" t="s">
        <v>3589</v>
      </c>
      <c r="Z26" s="69" t="s">
        <v>3590</v>
      </c>
      <c r="AA26" s="66" t="s">
        <v>3591</v>
      </c>
      <c r="AB26" s="68" t="s">
        <v>3592</v>
      </c>
      <c r="AC26" s="68" t="s">
        <v>3593</v>
      </c>
      <c r="AD26" s="68" t="s">
        <v>3594</v>
      </c>
      <c r="AE26" s="68" t="s">
        <v>3595</v>
      </c>
      <c r="AF26" s="68" t="s">
        <v>3596</v>
      </c>
      <c r="AG26" s="68" t="s">
        <v>3597</v>
      </c>
      <c r="AH26" s="69" t="s">
        <v>3598</v>
      </c>
      <c r="AI26" s="66" t="s">
        <v>3599</v>
      </c>
      <c r="AJ26" s="68" t="s">
        <v>3600</v>
      </c>
      <c r="AK26" s="68" t="s">
        <v>3601</v>
      </c>
      <c r="AL26" s="68" t="s">
        <v>3602</v>
      </c>
      <c r="AM26" s="68" t="s">
        <v>3603</v>
      </c>
      <c r="AN26" s="68" t="s">
        <v>3604</v>
      </c>
      <c r="AO26" s="68" t="s">
        <v>3605</v>
      </c>
      <c r="AP26" s="68" t="s">
        <v>3606</v>
      </c>
      <c r="AQ26" s="69" t="s">
        <v>3607</v>
      </c>
      <c r="AR26" s="66" t="s">
        <v>3608</v>
      </c>
      <c r="AS26" s="68" t="s">
        <v>3609</v>
      </c>
      <c r="AT26" s="68" t="s">
        <v>3610</v>
      </c>
      <c r="AU26" s="68" t="s">
        <v>3611</v>
      </c>
      <c r="AV26" s="68" t="s">
        <v>3612</v>
      </c>
      <c r="AW26" s="69" t="s">
        <v>3613</v>
      </c>
      <c r="AX26" s="66" t="s">
        <v>3614</v>
      </c>
      <c r="AY26" s="69" t="s">
        <v>3615</v>
      </c>
      <c r="AZ26" s="57" t="n">
        <v>29</v>
      </c>
      <c r="BA26" s="74" t="n">
        <v>13</v>
      </c>
      <c r="BB26" s="122" t="s">
        <v>1062</v>
      </c>
      <c r="BC26" s="76" t="n">
        <v>34</v>
      </c>
      <c r="BD26" s="76" t="n">
        <f aca="false">_xlfn.RANK.EQ(BC26,$BC$14:$BC$53,0)</f>
        <v>8</v>
      </c>
    </row>
    <row r="27" customFormat="false" ht="18" hidden="false" customHeight="true" outlineLevel="0" collapsed="false">
      <c r="A27" s="87"/>
      <c r="B27" s="60" t="n">
        <v>22</v>
      </c>
      <c r="C27" s="59" t="s">
        <v>27</v>
      </c>
      <c r="D27" s="60" t="s">
        <v>3616</v>
      </c>
      <c r="E27" s="62" t="s">
        <v>3617</v>
      </c>
      <c r="F27" s="62" t="s">
        <v>3618</v>
      </c>
      <c r="G27" s="62" t="s">
        <v>3619</v>
      </c>
      <c r="H27" s="62" t="s">
        <v>3620</v>
      </c>
      <c r="I27" s="62" t="s">
        <v>3621</v>
      </c>
      <c r="J27" s="62" t="s">
        <v>3622</v>
      </c>
      <c r="K27" s="62" t="s">
        <v>3623</v>
      </c>
      <c r="L27" s="62" t="s">
        <v>3624</v>
      </c>
      <c r="M27" s="62" t="s">
        <v>3625</v>
      </c>
      <c r="N27" s="63" t="s">
        <v>3626</v>
      </c>
      <c r="O27" s="60" t="s">
        <v>3627</v>
      </c>
      <c r="P27" s="62" t="s">
        <v>3628</v>
      </c>
      <c r="Q27" s="62" t="s">
        <v>3629</v>
      </c>
      <c r="R27" s="62" t="s">
        <v>3630</v>
      </c>
      <c r="S27" s="62" t="s">
        <v>3631</v>
      </c>
      <c r="T27" s="62" t="s">
        <v>3632</v>
      </c>
      <c r="U27" s="62" t="s">
        <v>3633</v>
      </c>
      <c r="V27" s="62" t="s">
        <v>3634</v>
      </c>
      <c r="W27" s="62" t="s">
        <v>3635</v>
      </c>
      <c r="X27" s="62" t="s">
        <v>3636</v>
      </c>
      <c r="Y27" s="61"/>
      <c r="Z27" s="63" t="s">
        <v>3637</v>
      </c>
      <c r="AA27" s="60" t="s">
        <v>3638</v>
      </c>
      <c r="AB27" s="62" t="s">
        <v>3639</v>
      </c>
      <c r="AC27" s="62" t="s">
        <v>3640</v>
      </c>
      <c r="AD27" s="62" t="s">
        <v>3641</v>
      </c>
      <c r="AE27" s="62" t="s">
        <v>3642</v>
      </c>
      <c r="AF27" s="62" t="s">
        <v>3643</v>
      </c>
      <c r="AG27" s="62" t="s">
        <v>3644</v>
      </c>
      <c r="AH27" s="63" t="s">
        <v>3645</v>
      </c>
      <c r="AI27" s="60" t="s">
        <v>3646</v>
      </c>
      <c r="AJ27" s="62" t="s">
        <v>3647</v>
      </c>
      <c r="AK27" s="62" t="s">
        <v>3648</v>
      </c>
      <c r="AL27" s="62" t="s">
        <v>3649</v>
      </c>
      <c r="AM27" s="62" t="s">
        <v>3650</v>
      </c>
      <c r="AN27" s="62" t="s">
        <v>3651</v>
      </c>
      <c r="AO27" s="62" t="s">
        <v>3652</v>
      </c>
      <c r="AP27" s="62" t="s">
        <v>3653</v>
      </c>
      <c r="AQ27" s="63" t="s">
        <v>3654</v>
      </c>
      <c r="AR27" s="60" t="s">
        <v>3655</v>
      </c>
      <c r="AS27" s="62" t="s">
        <v>3656</v>
      </c>
      <c r="AT27" s="62" t="s">
        <v>3657</v>
      </c>
      <c r="AU27" s="62" t="s">
        <v>3658</v>
      </c>
      <c r="AV27" s="62" t="s">
        <v>3659</v>
      </c>
      <c r="AW27" s="63" t="s">
        <v>3660</v>
      </c>
      <c r="AX27" s="60" t="s">
        <v>3661</v>
      </c>
      <c r="AY27" s="63" t="s">
        <v>3662</v>
      </c>
      <c r="AZ27" s="57" t="n">
        <v>40</v>
      </c>
      <c r="BA27" s="74" t="n">
        <v>14</v>
      </c>
      <c r="BB27" s="122" t="s">
        <v>1110</v>
      </c>
      <c r="BC27" s="76" t="n">
        <v>14</v>
      </c>
      <c r="BD27" s="76" t="n">
        <f aca="false">_xlfn.RANK.EQ(BC27,$BC$14:$BC$53,0)</f>
        <v>19</v>
      </c>
    </row>
    <row r="28" customFormat="false" ht="18" hidden="false" customHeight="true" outlineLevel="0" collapsed="false">
      <c r="A28" s="87"/>
      <c r="B28" s="78" t="n">
        <v>23</v>
      </c>
      <c r="C28" s="79" t="s">
        <v>1111</v>
      </c>
      <c r="D28" s="84" t="s">
        <v>3663</v>
      </c>
      <c r="E28" s="97" t="s">
        <v>3664</v>
      </c>
      <c r="F28" s="85" t="s">
        <v>3665</v>
      </c>
      <c r="G28" s="97" t="s">
        <v>3666</v>
      </c>
      <c r="H28" s="97" t="s">
        <v>3667</v>
      </c>
      <c r="I28" s="85" t="s">
        <v>3668</v>
      </c>
      <c r="J28" s="85" t="s">
        <v>3669</v>
      </c>
      <c r="K28" s="85" t="s">
        <v>3670</v>
      </c>
      <c r="L28" s="85" t="s">
        <v>3671</v>
      </c>
      <c r="M28" s="85" t="s">
        <v>3672</v>
      </c>
      <c r="N28" s="86" t="s">
        <v>3673</v>
      </c>
      <c r="O28" s="84" t="s">
        <v>3674</v>
      </c>
      <c r="P28" s="85" t="s">
        <v>3675</v>
      </c>
      <c r="Q28" s="85" t="s">
        <v>3676</v>
      </c>
      <c r="R28" s="85" t="s">
        <v>3677</v>
      </c>
      <c r="S28" s="85" t="s">
        <v>3678</v>
      </c>
      <c r="T28" s="85" t="s">
        <v>3679</v>
      </c>
      <c r="U28" s="85" t="s">
        <v>3680</v>
      </c>
      <c r="V28" s="85" t="s">
        <v>3681</v>
      </c>
      <c r="W28" s="85" t="s">
        <v>3682</v>
      </c>
      <c r="X28" s="97" t="s">
        <v>3683</v>
      </c>
      <c r="Y28" s="85" t="s">
        <v>3684</v>
      </c>
      <c r="Z28" s="98"/>
      <c r="AA28" s="84" t="s">
        <v>3685</v>
      </c>
      <c r="AB28" s="85" t="s">
        <v>3686</v>
      </c>
      <c r="AC28" s="85" t="s">
        <v>3687</v>
      </c>
      <c r="AD28" s="85" t="s">
        <v>3688</v>
      </c>
      <c r="AE28" s="85" t="s">
        <v>3689</v>
      </c>
      <c r="AF28" s="85" t="s">
        <v>3690</v>
      </c>
      <c r="AG28" s="85" t="s">
        <v>3691</v>
      </c>
      <c r="AH28" s="86" t="s">
        <v>3692</v>
      </c>
      <c r="AI28" s="84" t="s">
        <v>3693</v>
      </c>
      <c r="AJ28" s="85" t="s">
        <v>3694</v>
      </c>
      <c r="AK28" s="85" t="s">
        <v>3695</v>
      </c>
      <c r="AL28" s="85" t="s">
        <v>3696</v>
      </c>
      <c r="AM28" s="85" t="s">
        <v>3697</v>
      </c>
      <c r="AN28" s="85" t="s">
        <v>3698</v>
      </c>
      <c r="AO28" s="85" t="s">
        <v>3699</v>
      </c>
      <c r="AP28" s="85" t="s">
        <v>3700</v>
      </c>
      <c r="AQ28" s="86" t="s">
        <v>3701</v>
      </c>
      <c r="AR28" s="84" t="s">
        <v>3702</v>
      </c>
      <c r="AS28" s="85" t="s">
        <v>3703</v>
      </c>
      <c r="AT28" s="85" t="s">
        <v>3704</v>
      </c>
      <c r="AU28" s="85" t="s">
        <v>3705</v>
      </c>
      <c r="AV28" s="85" t="s">
        <v>3706</v>
      </c>
      <c r="AW28" s="86" t="s">
        <v>3707</v>
      </c>
      <c r="AX28" s="84" t="s">
        <v>3708</v>
      </c>
      <c r="AY28" s="86" t="s">
        <v>3709</v>
      </c>
      <c r="AZ28" s="57" t="n">
        <v>30</v>
      </c>
      <c r="BA28" s="74" t="n">
        <v>15</v>
      </c>
      <c r="BB28" s="122" t="s">
        <v>1159</v>
      </c>
      <c r="BC28" s="76" t="n">
        <v>16</v>
      </c>
      <c r="BD28" s="76" t="n">
        <f aca="false">_xlfn.RANK.EQ(BC28,$BC$14:$BC$53,0)</f>
        <v>16</v>
      </c>
    </row>
    <row r="29" customFormat="false" ht="18" hidden="false" customHeight="true" outlineLevel="0" collapsed="false">
      <c r="A29" s="100" t="s">
        <v>2</v>
      </c>
      <c r="B29" s="88" t="n">
        <v>24</v>
      </c>
      <c r="C29" s="91" t="s">
        <v>29</v>
      </c>
      <c r="D29" s="88" t="s">
        <v>3710</v>
      </c>
      <c r="E29" s="90" t="s">
        <v>3711</v>
      </c>
      <c r="F29" s="90" t="s">
        <v>3712</v>
      </c>
      <c r="G29" s="90" t="s">
        <v>3713</v>
      </c>
      <c r="H29" s="90" t="s">
        <v>3714</v>
      </c>
      <c r="I29" s="90" t="s">
        <v>3715</v>
      </c>
      <c r="J29" s="90" t="s">
        <v>3716</v>
      </c>
      <c r="K29" s="90" t="s">
        <v>3717</v>
      </c>
      <c r="L29" s="90" t="s">
        <v>3718</v>
      </c>
      <c r="M29" s="90" t="s">
        <v>3719</v>
      </c>
      <c r="N29" s="91" t="s">
        <v>3720</v>
      </c>
      <c r="O29" s="88" t="s">
        <v>3721</v>
      </c>
      <c r="P29" s="90" t="s">
        <v>3722</v>
      </c>
      <c r="Q29" s="90" t="s">
        <v>3723</v>
      </c>
      <c r="R29" s="90" t="s">
        <v>3724</v>
      </c>
      <c r="S29" s="90" t="s">
        <v>3725</v>
      </c>
      <c r="T29" s="90" t="s">
        <v>3726</v>
      </c>
      <c r="U29" s="90" t="s">
        <v>3727</v>
      </c>
      <c r="V29" s="90" t="s">
        <v>3728</v>
      </c>
      <c r="W29" s="90" t="s">
        <v>3729</v>
      </c>
      <c r="X29" s="90" t="s">
        <v>3730</v>
      </c>
      <c r="Y29" s="90" t="s">
        <v>3731</v>
      </c>
      <c r="Z29" s="91" t="s">
        <v>3732</v>
      </c>
      <c r="AA29" s="53"/>
      <c r="AB29" s="90" t="s">
        <v>3733</v>
      </c>
      <c r="AC29" s="90" t="s">
        <v>3734</v>
      </c>
      <c r="AD29" s="90" t="s">
        <v>3735</v>
      </c>
      <c r="AE29" s="90" t="s">
        <v>3736</v>
      </c>
      <c r="AF29" s="90" t="s">
        <v>3737</v>
      </c>
      <c r="AG29" s="90" t="s">
        <v>3738</v>
      </c>
      <c r="AH29" s="91" t="s">
        <v>3739</v>
      </c>
      <c r="AI29" s="88" t="s">
        <v>3740</v>
      </c>
      <c r="AJ29" s="90" t="s">
        <v>3741</v>
      </c>
      <c r="AK29" s="90" t="s">
        <v>3742</v>
      </c>
      <c r="AL29" s="90" t="s">
        <v>3743</v>
      </c>
      <c r="AM29" s="90" t="s">
        <v>3744</v>
      </c>
      <c r="AN29" s="90" t="s">
        <v>3745</v>
      </c>
      <c r="AO29" s="90" t="s">
        <v>3746</v>
      </c>
      <c r="AP29" s="90" t="s">
        <v>3747</v>
      </c>
      <c r="AQ29" s="91" t="s">
        <v>3748</v>
      </c>
      <c r="AR29" s="88" t="s">
        <v>3749</v>
      </c>
      <c r="AS29" s="90" t="s">
        <v>3750</v>
      </c>
      <c r="AT29" s="90" t="s">
        <v>3751</v>
      </c>
      <c r="AU29" s="90" t="s">
        <v>3752</v>
      </c>
      <c r="AV29" s="90" t="s">
        <v>3753</v>
      </c>
      <c r="AW29" s="91" t="s">
        <v>3754</v>
      </c>
      <c r="AX29" s="88" t="s">
        <v>3755</v>
      </c>
      <c r="AY29" s="91" t="s">
        <v>3756</v>
      </c>
      <c r="AZ29" s="57" t="n">
        <v>32</v>
      </c>
      <c r="BA29" s="74" t="n">
        <v>16</v>
      </c>
      <c r="BB29" s="122" t="s">
        <v>1207</v>
      </c>
      <c r="BC29" s="76" t="n">
        <v>2</v>
      </c>
      <c r="BD29" s="76" t="n">
        <f aca="false">_xlfn.RANK.EQ(BC29,$BC$14:$BC$53,0)</f>
        <v>34</v>
      </c>
    </row>
    <row r="30" customFormat="false" ht="18" hidden="false" customHeight="true" outlineLevel="0" collapsed="false">
      <c r="A30" s="100"/>
      <c r="B30" s="64" t="n">
        <v>25</v>
      </c>
      <c r="C30" s="101" t="s">
        <v>30</v>
      </c>
      <c r="D30" s="66" t="s">
        <v>3757</v>
      </c>
      <c r="E30" s="68" t="s">
        <v>3758</v>
      </c>
      <c r="F30" s="68" t="s">
        <v>3759</v>
      </c>
      <c r="G30" s="68" t="s">
        <v>3760</v>
      </c>
      <c r="H30" s="68" t="s">
        <v>3761</v>
      </c>
      <c r="I30" s="68" t="s">
        <v>3762</v>
      </c>
      <c r="J30" s="68" t="s">
        <v>3763</v>
      </c>
      <c r="K30" s="68" t="s">
        <v>3764</v>
      </c>
      <c r="L30" s="68" t="s">
        <v>3765</v>
      </c>
      <c r="M30" s="68" t="s">
        <v>3766</v>
      </c>
      <c r="N30" s="69" t="s">
        <v>3767</v>
      </c>
      <c r="O30" s="66" t="s">
        <v>3768</v>
      </c>
      <c r="P30" s="68" t="s">
        <v>3769</v>
      </c>
      <c r="Q30" s="68" t="s">
        <v>3770</v>
      </c>
      <c r="R30" s="68" t="s">
        <v>3771</v>
      </c>
      <c r="S30" s="68" t="s">
        <v>3772</v>
      </c>
      <c r="T30" s="68" t="s">
        <v>3773</v>
      </c>
      <c r="U30" s="68" t="s">
        <v>3774</v>
      </c>
      <c r="V30" s="68" t="s">
        <v>3775</v>
      </c>
      <c r="W30" s="68" t="s">
        <v>3776</v>
      </c>
      <c r="X30" s="68" t="s">
        <v>3777</v>
      </c>
      <c r="Y30" s="67" t="s">
        <v>3778</v>
      </c>
      <c r="Z30" s="92" t="s">
        <v>3779</v>
      </c>
      <c r="AA30" s="64" t="s">
        <v>3780</v>
      </c>
      <c r="AB30" s="61"/>
      <c r="AC30" s="67" t="s">
        <v>3781</v>
      </c>
      <c r="AD30" s="67" t="s">
        <v>3782</v>
      </c>
      <c r="AE30" s="67" t="s">
        <v>3783</v>
      </c>
      <c r="AF30" s="67" t="s">
        <v>3784</v>
      </c>
      <c r="AG30" s="67" t="s">
        <v>3785</v>
      </c>
      <c r="AH30" s="92" t="s">
        <v>3786</v>
      </c>
      <c r="AI30" s="64" t="s">
        <v>3787</v>
      </c>
      <c r="AJ30" s="67" t="s">
        <v>3788</v>
      </c>
      <c r="AK30" s="67" t="s">
        <v>3789</v>
      </c>
      <c r="AL30" s="67" t="s">
        <v>3790</v>
      </c>
      <c r="AM30" s="67" t="s">
        <v>3791</v>
      </c>
      <c r="AN30" s="67" t="s">
        <v>3792</v>
      </c>
      <c r="AO30" s="67" t="s">
        <v>3793</v>
      </c>
      <c r="AP30" s="67" t="s">
        <v>3794</v>
      </c>
      <c r="AQ30" s="92" t="s">
        <v>3795</v>
      </c>
      <c r="AR30" s="64" t="s">
        <v>3796</v>
      </c>
      <c r="AS30" s="67" t="s">
        <v>3797</v>
      </c>
      <c r="AT30" s="67" t="s">
        <v>3798</v>
      </c>
      <c r="AU30" s="67" t="s">
        <v>3799</v>
      </c>
      <c r="AV30" s="67" t="s">
        <v>3800</v>
      </c>
      <c r="AW30" s="92" t="s">
        <v>3801</v>
      </c>
      <c r="AX30" s="64" t="s">
        <v>3802</v>
      </c>
      <c r="AY30" s="92" t="s">
        <v>3803</v>
      </c>
      <c r="AZ30" s="57" t="n">
        <v>80</v>
      </c>
      <c r="BA30" s="74" t="n">
        <v>17</v>
      </c>
      <c r="BB30" s="122" t="s">
        <v>1255</v>
      </c>
      <c r="BC30" s="76" t="n">
        <v>31</v>
      </c>
      <c r="BD30" s="76" t="n">
        <f aca="false">_xlfn.RANK.EQ(BC30,$BC$14:$BC$53,0)</f>
        <v>9</v>
      </c>
    </row>
    <row r="31" customFormat="false" ht="18" hidden="false" customHeight="true" outlineLevel="0" collapsed="false">
      <c r="A31" s="100"/>
      <c r="B31" s="60" t="n">
        <v>26</v>
      </c>
      <c r="C31" s="63" t="s">
        <v>31</v>
      </c>
      <c r="D31" s="60" t="s">
        <v>3804</v>
      </c>
      <c r="E31" s="62" t="s">
        <v>3805</v>
      </c>
      <c r="F31" s="62" t="s">
        <v>3806</v>
      </c>
      <c r="G31" s="62" t="s">
        <v>3807</v>
      </c>
      <c r="H31" s="62" t="s">
        <v>3808</v>
      </c>
      <c r="I31" s="62" t="s">
        <v>3809</v>
      </c>
      <c r="J31" s="62" t="s">
        <v>3810</v>
      </c>
      <c r="K31" s="62" t="s">
        <v>3811</v>
      </c>
      <c r="L31" s="62" t="s">
        <v>3812</v>
      </c>
      <c r="M31" s="62" t="s">
        <v>3813</v>
      </c>
      <c r="N31" s="63" t="s">
        <v>3814</v>
      </c>
      <c r="O31" s="60" t="s">
        <v>3815</v>
      </c>
      <c r="P31" s="62" t="s">
        <v>3816</v>
      </c>
      <c r="Q31" s="62" t="s">
        <v>3817</v>
      </c>
      <c r="R31" s="62" t="s">
        <v>3818</v>
      </c>
      <c r="S31" s="62" t="s">
        <v>3819</v>
      </c>
      <c r="T31" s="62" t="s">
        <v>3820</v>
      </c>
      <c r="U31" s="62" t="s">
        <v>3821</v>
      </c>
      <c r="V31" s="62" t="s">
        <v>3822</v>
      </c>
      <c r="W31" s="62" t="s">
        <v>3823</v>
      </c>
      <c r="X31" s="62" t="s">
        <v>3824</v>
      </c>
      <c r="Y31" s="62" t="s">
        <v>3825</v>
      </c>
      <c r="Z31" s="63" t="s">
        <v>3826</v>
      </c>
      <c r="AA31" s="60" t="s">
        <v>3827</v>
      </c>
      <c r="AB31" s="62" t="s">
        <v>3828</v>
      </c>
      <c r="AC31" s="61"/>
      <c r="AD31" s="62" t="s">
        <v>3829</v>
      </c>
      <c r="AE31" s="62" t="s">
        <v>3830</v>
      </c>
      <c r="AF31" s="62" t="s">
        <v>3831</v>
      </c>
      <c r="AG31" s="62" t="s">
        <v>3832</v>
      </c>
      <c r="AH31" s="63" t="s">
        <v>3833</v>
      </c>
      <c r="AI31" s="60" t="s">
        <v>3834</v>
      </c>
      <c r="AJ31" s="62" t="s">
        <v>3835</v>
      </c>
      <c r="AK31" s="62" t="s">
        <v>3836</v>
      </c>
      <c r="AL31" s="62" t="s">
        <v>3837</v>
      </c>
      <c r="AM31" s="62" t="s">
        <v>3838</v>
      </c>
      <c r="AN31" s="62" t="s">
        <v>3839</v>
      </c>
      <c r="AO31" s="62" t="s">
        <v>3840</v>
      </c>
      <c r="AP31" s="62" t="s">
        <v>3841</v>
      </c>
      <c r="AQ31" s="63" t="s">
        <v>3842</v>
      </c>
      <c r="AR31" s="60" t="s">
        <v>3843</v>
      </c>
      <c r="AS31" s="62" t="s">
        <v>3844</v>
      </c>
      <c r="AT31" s="62" t="s">
        <v>3845</v>
      </c>
      <c r="AU31" s="62" t="s">
        <v>3846</v>
      </c>
      <c r="AV31" s="62" t="s">
        <v>3847</v>
      </c>
      <c r="AW31" s="63" t="s">
        <v>3848</v>
      </c>
      <c r="AX31" s="60" t="s">
        <v>3849</v>
      </c>
      <c r="AY31" s="63" t="s">
        <v>3850</v>
      </c>
      <c r="AZ31" s="57" t="n">
        <v>40</v>
      </c>
      <c r="BA31" s="74" t="n">
        <v>18</v>
      </c>
      <c r="BB31" s="122" t="s">
        <v>1303</v>
      </c>
      <c r="BC31" s="76" t="n">
        <v>23</v>
      </c>
      <c r="BD31" s="76" t="n">
        <f aca="false">_xlfn.RANK.EQ(BC31,$BC$14:$BC$53,0)</f>
        <v>12</v>
      </c>
    </row>
    <row r="32" customFormat="false" ht="18" hidden="false" customHeight="true" outlineLevel="0" collapsed="false">
      <c r="A32" s="100"/>
      <c r="B32" s="64" t="n">
        <v>27</v>
      </c>
      <c r="C32" s="101" t="s">
        <v>32</v>
      </c>
      <c r="D32" s="66" t="s">
        <v>3851</v>
      </c>
      <c r="E32" s="68" t="s">
        <v>3852</v>
      </c>
      <c r="F32" s="68" t="s">
        <v>3853</v>
      </c>
      <c r="G32" s="68" t="s">
        <v>3854</v>
      </c>
      <c r="H32" s="68" t="s">
        <v>3855</v>
      </c>
      <c r="I32" s="68" t="s">
        <v>3856</v>
      </c>
      <c r="J32" s="68" t="s">
        <v>3857</v>
      </c>
      <c r="K32" s="68" t="s">
        <v>3858</v>
      </c>
      <c r="L32" s="68" t="s">
        <v>3859</v>
      </c>
      <c r="M32" s="68" t="s">
        <v>3860</v>
      </c>
      <c r="N32" s="69" t="s">
        <v>3861</v>
      </c>
      <c r="O32" s="66" t="s">
        <v>3862</v>
      </c>
      <c r="P32" s="68" t="s">
        <v>3863</v>
      </c>
      <c r="Q32" s="68" t="s">
        <v>3864</v>
      </c>
      <c r="R32" s="68" t="s">
        <v>3865</v>
      </c>
      <c r="S32" s="68" t="s">
        <v>3866</v>
      </c>
      <c r="T32" s="68" t="s">
        <v>3867</v>
      </c>
      <c r="U32" s="68" t="s">
        <v>3868</v>
      </c>
      <c r="V32" s="68" t="s">
        <v>3869</v>
      </c>
      <c r="W32" s="68" t="s">
        <v>3870</v>
      </c>
      <c r="X32" s="68" t="s">
        <v>3871</v>
      </c>
      <c r="Y32" s="67" t="s">
        <v>3872</v>
      </c>
      <c r="Z32" s="92" t="s">
        <v>3873</v>
      </c>
      <c r="AA32" s="64" t="s">
        <v>3874</v>
      </c>
      <c r="AB32" s="67" t="s">
        <v>3875</v>
      </c>
      <c r="AC32" s="67" t="s">
        <v>3876</v>
      </c>
      <c r="AD32" s="61"/>
      <c r="AE32" s="67" t="s">
        <v>3877</v>
      </c>
      <c r="AF32" s="67" t="s">
        <v>3878</v>
      </c>
      <c r="AG32" s="67" t="s">
        <v>3879</v>
      </c>
      <c r="AH32" s="92" t="s">
        <v>3880</v>
      </c>
      <c r="AI32" s="64" t="s">
        <v>3881</v>
      </c>
      <c r="AJ32" s="67" t="s">
        <v>3882</v>
      </c>
      <c r="AK32" s="67" t="s">
        <v>3883</v>
      </c>
      <c r="AL32" s="67" t="s">
        <v>3884</v>
      </c>
      <c r="AM32" s="67" t="s">
        <v>3885</v>
      </c>
      <c r="AN32" s="67" t="s">
        <v>3886</v>
      </c>
      <c r="AO32" s="67" t="s">
        <v>3887</v>
      </c>
      <c r="AP32" s="67" t="s">
        <v>3888</v>
      </c>
      <c r="AQ32" s="92" t="s">
        <v>3889</v>
      </c>
      <c r="AR32" s="64" t="s">
        <v>3890</v>
      </c>
      <c r="AS32" s="67" t="s">
        <v>3891</v>
      </c>
      <c r="AT32" s="67" t="s">
        <v>3892</v>
      </c>
      <c r="AU32" s="67" t="s">
        <v>3893</v>
      </c>
      <c r="AV32" s="67" t="s">
        <v>3894</v>
      </c>
      <c r="AW32" s="92" t="s">
        <v>3895</v>
      </c>
      <c r="AX32" s="64" t="s">
        <v>3896</v>
      </c>
      <c r="AY32" s="92" t="s">
        <v>3897</v>
      </c>
      <c r="AZ32" s="57" t="n">
        <v>61</v>
      </c>
      <c r="BA32" s="74" t="n">
        <v>19</v>
      </c>
      <c r="BB32" s="122" t="s">
        <v>1351</v>
      </c>
      <c r="BC32" s="76" t="n">
        <v>11</v>
      </c>
      <c r="BD32" s="76" t="n">
        <f aca="false">_xlfn.RANK.EQ(BC32,$BC$14:$BC$53,0)</f>
        <v>21</v>
      </c>
    </row>
    <row r="33" customFormat="false" ht="18" hidden="false" customHeight="true" outlineLevel="0" collapsed="false">
      <c r="A33" s="100"/>
      <c r="B33" s="60" t="n">
        <v>28</v>
      </c>
      <c r="C33" s="63" t="s">
        <v>1352</v>
      </c>
      <c r="D33" s="60" t="s">
        <v>3898</v>
      </c>
      <c r="E33" s="62" t="s">
        <v>3899</v>
      </c>
      <c r="F33" s="62" t="s">
        <v>3900</v>
      </c>
      <c r="G33" s="62" t="s">
        <v>3901</v>
      </c>
      <c r="H33" s="62" t="s">
        <v>3902</v>
      </c>
      <c r="I33" s="62" t="s">
        <v>3903</v>
      </c>
      <c r="J33" s="62" t="s">
        <v>3904</v>
      </c>
      <c r="K33" s="62" t="s">
        <v>3905</v>
      </c>
      <c r="L33" s="62" t="s">
        <v>3906</v>
      </c>
      <c r="M33" s="62" t="s">
        <v>3907</v>
      </c>
      <c r="N33" s="63" t="s">
        <v>3908</v>
      </c>
      <c r="O33" s="60" t="s">
        <v>3909</v>
      </c>
      <c r="P33" s="62" t="s">
        <v>3910</v>
      </c>
      <c r="Q33" s="62" t="s">
        <v>3911</v>
      </c>
      <c r="R33" s="62" t="s">
        <v>3912</v>
      </c>
      <c r="S33" s="62" t="s">
        <v>3913</v>
      </c>
      <c r="T33" s="62" t="s">
        <v>3914</v>
      </c>
      <c r="U33" s="62" t="s">
        <v>3915</v>
      </c>
      <c r="V33" s="62" t="s">
        <v>3916</v>
      </c>
      <c r="W33" s="62" t="s">
        <v>3917</v>
      </c>
      <c r="X33" s="62" t="s">
        <v>3918</v>
      </c>
      <c r="Y33" s="62" t="s">
        <v>3919</v>
      </c>
      <c r="Z33" s="63" t="s">
        <v>3920</v>
      </c>
      <c r="AA33" s="60" t="s">
        <v>3921</v>
      </c>
      <c r="AB33" s="62" t="s">
        <v>3922</v>
      </c>
      <c r="AC33" s="62" t="s">
        <v>3923</v>
      </c>
      <c r="AD33" s="62" t="s">
        <v>3924</v>
      </c>
      <c r="AE33" s="61"/>
      <c r="AF33" s="62" t="s">
        <v>3925</v>
      </c>
      <c r="AG33" s="62" t="s">
        <v>3926</v>
      </c>
      <c r="AH33" s="63" t="s">
        <v>3927</v>
      </c>
      <c r="AI33" s="60" t="s">
        <v>3928</v>
      </c>
      <c r="AJ33" s="62" t="s">
        <v>3929</v>
      </c>
      <c r="AK33" s="62" t="s">
        <v>3930</v>
      </c>
      <c r="AL33" s="62" t="s">
        <v>3931</v>
      </c>
      <c r="AM33" s="62" t="s">
        <v>3932</v>
      </c>
      <c r="AN33" s="62" t="s">
        <v>3933</v>
      </c>
      <c r="AO33" s="62" t="s">
        <v>3934</v>
      </c>
      <c r="AP33" s="62" t="s">
        <v>3935</v>
      </c>
      <c r="AQ33" s="63" t="s">
        <v>3936</v>
      </c>
      <c r="AR33" s="60" t="s">
        <v>3937</v>
      </c>
      <c r="AS33" s="62" t="s">
        <v>3938</v>
      </c>
      <c r="AT33" s="62" t="s">
        <v>3939</v>
      </c>
      <c r="AU33" s="62" t="s">
        <v>3940</v>
      </c>
      <c r="AV33" s="62" t="s">
        <v>3941</v>
      </c>
      <c r="AW33" s="63" t="s">
        <v>3942</v>
      </c>
      <c r="AX33" s="60" t="s">
        <v>3943</v>
      </c>
      <c r="AY33" s="63" t="s">
        <v>3944</v>
      </c>
      <c r="AZ33" s="57" t="n">
        <v>17</v>
      </c>
      <c r="BA33" s="74" t="n">
        <v>20</v>
      </c>
      <c r="BB33" s="122" t="s">
        <v>1400</v>
      </c>
      <c r="BC33" s="76" t="n">
        <v>0</v>
      </c>
      <c r="BD33" s="76" t="n">
        <f aca="false">_xlfn.RANK.EQ(BC33,$BC$14:$BC$53,0)</f>
        <v>39</v>
      </c>
    </row>
    <row r="34" customFormat="false" ht="18" hidden="false" customHeight="true" outlineLevel="0" collapsed="false">
      <c r="A34" s="100"/>
      <c r="B34" s="64" t="n">
        <v>29</v>
      </c>
      <c r="C34" s="101" t="s">
        <v>1401</v>
      </c>
      <c r="D34" s="66" t="s">
        <v>3945</v>
      </c>
      <c r="E34" s="68" t="s">
        <v>3946</v>
      </c>
      <c r="F34" s="68" t="s">
        <v>3947</v>
      </c>
      <c r="G34" s="68" t="s">
        <v>3948</v>
      </c>
      <c r="H34" s="68" t="s">
        <v>3949</v>
      </c>
      <c r="I34" s="68" t="s">
        <v>3950</v>
      </c>
      <c r="J34" s="68" t="s">
        <v>3951</v>
      </c>
      <c r="K34" s="68" t="s">
        <v>3952</v>
      </c>
      <c r="L34" s="68" t="s">
        <v>3953</v>
      </c>
      <c r="M34" s="68" t="s">
        <v>3954</v>
      </c>
      <c r="N34" s="69" t="s">
        <v>3955</v>
      </c>
      <c r="O34" s="66" t="s">
        <v>3956</v>
      </c>
      <c r="P34" s="68" t="s">
        <v>3957</v>
      </c>
      <c r="Q34" s="68" t="s">
        <v>3958</v>
      </c>
      <c r="R34" s="68" t="s">
        <v>3959</v>
      </c>
      <c r="S34" s="68" t="s">
        <v>3960</v>
      </c>
      <c r="T34" s="68" t="s">
        <v>3961</v>
      </c>
      <c r="U34" s="68" t="s">
        <v>3962</v>
      </c>
      <c r="V34" s="68" t="s">
        <v>3963</v>
      </c>
      <c r="W34" s="68" t="s">
        <v>3964</v>
      </c>
      <c r="X34" s="68" t="s">
        <v>3965</v>
      </c>
      <c r="Y34" s="67" t="s">
        <v>3966</v>
      </c>
      <c r="Z34" s="92" t="s">
        <v>3967</v>
      </c>
      <c r="AA34" s="64" t="s">
        <v>3968</v>
      </c>
      <c r="AB34" s="67" t="s">
        <v>3969</v>
      </c>
      <c r="AC34" s="67" t="s">
        <v>3970</v>
      </c>
      <c r="AD34" s="67" t="s">
        <v>3971</v>
      </c>
      <c r="AE34" s="67" t="s">
        <v>3972</v>
      </c>
      <c r="AF34" s="61"/>
      <c r="AG34" s="67" t="s">
        <v>3973</v>
      </c>
      <c r="AH34" s="92" t="s">
        <v>3974</v>
      </c>
      <c r="AI34" s="64" t="s">
        <v>3975</v>
      </c>
      <c r="AJ34" s="67" t="s">
        <v>3976</v>
      </c>
      <c r="AK34" s="67" t="s">
        <v>3977</v>
      </c>
      <c r="AL34" s="67" t="s">
        <v>3978</v>
      </c>
      <c r="AM34" s="67" t="s">
        <v>3979</v>
      </c>
      <c r="AN34" s="67" t="s">
        <v>3980</v>
      </c>
      <c r="AO34" s="67" t="s">
        <v>3981</v>
      </c>
      <c r="AP34" s="67" t="s">
        <v>3982</v>
      </c>
      <c r="AQ34" s="92" t="s">
        <v>3983</v>
      </c>
      <c r="AR34" s="64" t="s">
        <v>3984</v>
      </c>
      <c r="AS34" s="67" t="s">
        <v>3985</v>
      </c>
      <c r="AT34" s="67" t="s">
        <v>3986</v>
      </c>
      <c r="AU34" s="67" t="s">
        <v>3987</v>
      </c>
      <c r="AV34" s="67" t="s">
        <v>3988</v>
      </c>
      <c r="AW34" s="92" t="s">
        <v>3989</v>
      </c>
      <c r="AX34" s="64" t="s">
        <v>3990</v>
      </c>
      <c r="AY34" s="92" t="s">
        <v>3991</v>
      </c>
      <c r="AZ34" s="57" t="n">
        <v>9</v>
      </c>
      <c r="BA34" s="74" t="n">
        <v>21</v>
      </c>
      <c r="BB34" s="122" t="s">
        <v>1449</v>
      </c>
      <c r="BC34" s="76" t="n">
        <v>3</v>
      </c>
      <c r="BD34" s="76" t="n">
        <f aca="false">_xlfn.RANK.EQ(BC34,$BC$14:$BC$53,0)</f>
        <v>32</v>
      </c>
    </row>
    <row r="35" customFormat="false" ht="18" hidden="false" customHeight="true" outlineLevel="0" collapsed="false">
      <c r="A35" s="100"/>
      <c r="B35" s="60" t="n">
        <v>30</v>
      </c>
      <c r="C35" s="63" t="s">
        <v>35</v>
      </c>
      <c r="D35" s="60" t="s">
        <v>3992</v>
      </c>
      <c r="E35" s="62" t="s">
        <v>3993</v>
      </c>
      <c r="F35" s="62" t="s">
        <v>3994</v>
      </c>
      <c r="G35" s="62" t="s">
        <v>3995</v>
      </c>
      <c r="H35" s="62" t="s">
        <v>3996</v>
      </c>
      <c r="I35" s="62" t="s">
        <v>3997</v>
      </c>
      <c r="J35" s="62" t="s">
        <v>3998</v>
      </c>
      <c r="K35" s="62" t="s">
        <v>3999</v>
      </c>
      <c r="L35" s="62" t="s">
        <v>4000</v>
      </c>
      <c r="M35" s="62" t="s">
        <v>4001</v>
      </c>
      <c r="N35" s="63" t="s">
        <v>4002</v>
      </c>
      <c r="O35" s="60" t="s">
        <v>4003</v>
      </c>
      <c r="P35" s="62" t="s">
        <v>4004</v>
      </c>
      <c r="Q35" s="62" t="s">
        <v>4005</v>
      </c>
      <c r="R35" s="62" t="s">
        <v>4006</v>
      </c>
      <c r="S35" s="62" t="s">
        <v>4007</v>
      </c>
      <c r="T35" s="62" t="s">
        <v>4008</v>
      </c>
      <c r="U35" s="62" t="s">
        <v>4009</v>
      </c>
      <c r="V35" s="62" t="s">
        <v>4010</v>
      </c>
      <c r="W35" s="62" t="s">
        <v>4011</v>
      </c>
      <c r="X35" s="62" t="s">
        <v>4012</v>
      </c>
      <c r="Y35" s="62" t="s">
        <v>4013</v>
      </c>
      <c r="Z35" s="63" t="s">
        <v>4014</v>
      </c>
      <c r="AA35" s="60" t="s">
        <v>4015</v>
      </c>
      <c r="AB35" s="62" t="s">
        <v>4016</v>
      </c>
      <c r="AC35" s="62" t="s">
        <v>4017</v>
      </c>
      <c r="AD35" s="62" t="s">
        <v>4018</v>
      </c>
      <c r="AE35" s="62" t="s">
        <v>4019</v>
      </c>
      <c r="AF35" s="62" t="s">
        <v>4020</v>
      </c>
      <c r="AG35" s="61"/>
      <c r="AH35" s="63" t="s">
        <v>4021</v>
      </c>
      <c r="AI35" s="60" t="s">
        <v>4022</v>
      </c>
      <c r="AJ35" s="62" t="s">
        <v>4023</v>
      </c>
      <c r="AK35" s="62" t="s">
        <v>4024</v>
      </c>
      <c r="AL35" s="62" t="s">
        <v>4025</v>
      </c>
      <c r="AM35" s="62" t="s">
        <v>4026</v>
      </c>
      <c r="AN35" s="62" t="s">
        <v>4027</v>
      </c>
      <c r="AO35" s="62" t="s">
        <v>4028</v>
      </c>
      <c r="AP35" s="62" t="s">
        <v>4029</v>
      </c>
      <c r="AQ35" s="63" t="s">
        <v>4030</v>
      </c>
      <c r="AR35" s="60" t="s">
        <v>4031</v>
      </c>
      <c r="AS35" s="62" t="s">
        <v>4032</v>
      </c>
      <c r="AT35" s="62" t="s">
        <v>4033</v>
      </c>
      <c r="AU35" s="62" t="s">
        <v>4034</v>
      </c>
      <c r="AV35" s="62" t="s">
        <v>4035</v>
      </c>
      <c r="AW35" s="63" t="s">
        <v>4036</v>
      </c>
      <c r="AX35" s="60" t="s">
        <v>4037</v>
      </c>
      <c r="AY35" s="63" t="s">
        <v>4038</v>
      </c>
      <c r="AZ35" s="57" t="n">
        <v>39</v>
      </c>
      <c r="BA35" s="74" t="n">
        <v>22</v>
      </c>
      <c r="BB35" s="122" t="s">
        <v>1497</v>
      </c>
      <c r="BC35" s="76" t="n">
        <v>2</v>
      </c>
      <c r="BD35" s="76" t="n">
        <f aca="false">_xlfn.RANK.EQ(BC35,$BC$14:$BC$53,0)</f>
        <v>34</v>
      </c>
    </row>
    <row r="36" customFormat="false" ht="18" hidden="false" customHeight="true" outlineLevel="0" collapsed="false">
      <c r="A36" s="100"/>
      <c r="B36" s="78" t="n">
        <v>31</v>
      </c>
      <c r="C36" s="102" t="s">
        <v>1498</v>
      </c>
      <c r="D36" s="84" t="s">
        <v>4039</v>
      </c>
      <c r="E36" s="85" t="s">
        <v>4040</v>
      </c>
      <c r="F36" s="85" t="s">
        <v>4041</v>
      </c>
      <c r="G36" s="85" t="s">
        <v>4042</v>
      </c>
      <c r="H36" s="85" t="s">
        <v>4043</v>
      </c>
      <c r="I36" s="85" t="s">
        <v>4044</v>
      </c>
      <c r="J36" s="85" t="s">
        <v>4045</v>
      </c>
      <c r="K36" s="85" t="s">
        <v>4046</v>
      </c>
      <c r="L36" s="85" t="s">
        <v>4047</v>
      </c>
      <c r="M36" s="85" t="s">
        <v>4048</v>
      </c>
      <c r="N36" s="86" t="s">
        <v>4049</v>
      </c>
      <c r="O36" s="84" t="s">
        <v>4050</v>
      </c>
      <c r="P36" s="85" t="s">
        <v>4051</v>
      </c>
      <c r="Q36" s="85" t="s">
        <v>4052</v>
      </c>
      <c r="R36" s="85" t="s">
        <v>4053</v>
      </c>
      <c r="S36" s="85" t="s">
        <v>4054</v>
      </c>
      <c r="T36" s="85" t="s">
        <v>4055</v>
      </c>
      <c r="U36" s="85" t="s">
        <v>4056</v>
      </c>
      <c r="V36" s="85" t="s">
        <v>4057</v>
      </c>
      <c r="W36" s="85" t="s">
        <v>4058</v>
      </c>
      <c r="X36" s="85" t="s">
        <v>4059</v>
      </c>
      <c r="Y36" s="97" t="s">
        <v>4060</v>
      </c>
      <c r="Z36" s="103" t="s">
        <v>4061</v>
      </c>
      <c r="AA36" s="78" t="s">
        <v>4062</v>
      </c>
      <c r="AB36" s="97" t="s">
        <v>4063</v>
      </c>
      <c r="AC36" s="97" t="s">
        <v>4064</v>
      </c>
      <c r="AD36" s="97" t="s">
        <v>4065</v>
      </c>
      <c r="AE36" s="97" t="s">
        <v>4066</v>
      </c>
      <c r="AF36" s="97" t="s">
        <v>4067</v>
      </c>
      <c r="AG36" s="97" t="s">
        <v>4068</v>
      </c>
      <c r="AH36" s="98"/>
      <c r="AI36" s="78" t="s">
        <v>4069</v>
      </c>
      <c r="AJ36" s="97" t="s">
        <v>4070</v>
      </c>
      <c r="AK36" s="97" t="s">
        <v>4071</v>
      </c>
      <c r="AL36" s="97" t="s">
        <v>4072</v>
      </c>
      <c r="AM36" s="97" t="s">
        <v>4073</v>
      </c>
      <c r="AN36" s="97" t="s">
        <v>4074</v>
      </c>
      <c r="AO36" s="97" t="s">
        <v>4075</v>
      </c>
      <c r="AP36" s="97" t="s">
        <v>4076</v>
      </c>
      <c r="AQ36" s="103" t="s">
        <v>4077</v>
      </c>
      <c r="AR36" s="78" t="s">
        <v>4078</v>
      </c>
      <c r="AS36" s="97" t="s">
        <v>4079</v>
      </c>
      <c r="AT36" s="97" t="s">
        <v>4080</v>
      </c>
      <c r="AU36" s="97" t="s">
        <v>4081</v>
      </c>
      <c r="AV36" s="97" t="s">
        <v>4082</v>
      </c>
      <c r="AW36" s="103" t="s">
        <v>4083</v>
      </c>
      <c r="AX36" s="78" t="s">
        <v>4084</v>
      </c>
      <c r="AY36" s="103" t="s">
        <v>4085</v>
      </c>
      <c r="AZ36" s="57" t="n">
        <v>63</v>
      </c>
      <c r="BA36" s="74" t="n">
        <v>23</v>
      </c>
      <c r="BB36" s="122" t="s">
        <v>1546</v>
      </c>
      <c r="BC36" s="76" t="n">
        <v>1</v>
      </c>
      <c r="BD36" s="76" t="n">
        <f aca="false">_xlfn.RANK.EQ(BC36,$BC$14:$BC$53,0)</f>
        <v>37</v>
      </c>
    </row>
    <row r="37" customFormat="false" ht="18" hidden="false" customHeight="true" outlineLevel="0" collapsed="false">
      <c r="A37" s="104" t="s">
        <v>3</v>
      </c>
      <c r="B37" s="88" t="n">
        <v>32</v>
      </c>
      <c r="C37" s="91" t="s">
        <v>37</v>
      </c>
      <c r="D37" s="88" t="s">
        <v>4086</v>
      </c>
      <c r="E37" s="90" t="s">
        <v>4087</v>
      </c>
      <c r="F37" s="90" t="s">
        <v>4088</v>
      </c>
      <c r="G37" s="90" t="s">
        <v>4089</v>
      </c>
      <c r="H37" s="90" t="s">
        <v>4090</v>
      </c>
      <c r="I37" s="90" t="s">
        <v>4091</v>
      </c>
      <c r="J37" s="90" t="s">
        <v>4092</v>
      </c>
      <c r="K37" s="90" t="s">
        <v>4093</v>
      </c>
      <c r="L37" s="90" t="s">
        <v>4094</v>
      </c>
      <c r="M37" s="90" t="s">
        <v>4095</v>
      </c>
      <c r="N37" s="91" t="s">
        <v>4096</v>
      </c>
      <c r="O37" s="88" t="s">
        <v>4097</v>
      </c>
      <c r="P37" s="90" t="s">
        <v>4098</v>
      </c>
      <c r="Q37" s="90" t="s">
        <v>4099</v>
      </c>
      <c r="R37" s="90" t="s">
        <v>4100</v>
      </c>
      <c r="S37" s="90" t="s">
        <v>4101</v>
      </c>
      <c r="T37" s="90" t="s">
        <v>4102</v>
      </c>
      <c r="U37" s="90" t="s">
        <v>4103</v>
      </c>
      <c r="V37" s="90" t="s">
        <v>4104</v>
      </c>
      <c r="W37" s="90" t="s">
        <v>4105</v>
      </c>
      <c r="X37" s="90" t="s">
        <v>4106</v>
      </c>
      <c r="Y37" s="90" t="s">
        <v>4107</v>
      </c>
      <c r="Z37" s="91" t="s">
        <v>4108</v>
      </c>
      <c r="AA37" s="88" t="s">
        <v>4109</v>
      </c>
      <c r="AB37" s="90" t="s">
        <v>4110</v>
      </c>
      <c r="AC37" s="90" t="s">
        <v>4111</v>
      </c>
      <c r="AD37" s="90" t="s">
        <v>4112</v>
      </c>
      <c r="AE37" s="90" t="s">
        <v>4113</v>
      </c>
      <c r="AF37" s="90" t="s">
        <v>4114</v>
      </c>
      <c r="AG37" s="90" t="s">
        <v>4115</v>
      </c>
      <c r="AH37" s="91" t="s">
        <v>4116</v>
      </c>
      <c r="AI37" s="53"/>
      <c r="AJ37" s="90" t="s">
        <v>4117</v>
      </c>
      <c r="AK37" s="90" t="s">
        <v>4118</v>
      </c>
      <c r="AL37" s="90" t="s">
        <v>4119</v>
      </c>
      <c r="AM37" s="90" t="s">
        <v>4120</v>
      </c>
      <c r="AN37" s="90" t="s">
        <v>4121</v>
      </c>
      <c r="AO37" s="90" t="s">
        <v>4122</v>
      </c>
      <c r="AP37" s="90" t="s">
        <v>4123</v>
      </c>
      <c r="AQ37" s="91" t="s">
        <v>4124</v>
      </c>
      <c r="AR37" s="88" t="s">
        <v>4125</v>
      </c>
      <c r="AS37" s="90" t="s">
        <v>4126</v>
      </c>
      <c r="AT37" s="90" t="s">
        <v>4127</v>
      </c>
      <c r="AU37" s="90" t="s">
        <v>4128</v>
      </c>
      <c r="AV37" s="90" t="s">
        <v>4129</v>
      </c>
      <c r="AW37" s="91" t="s">
        <v>4130</v>
      </c>
      <c r="AX37" s="88" t="s">
        <v>4131</v>
      </c>
      <c r="AY37" s="91" t="s">
        <v>4132</v>
      </c>
      <c r="AZ37" s="57" t="n">
        <v>46</v>
      </c>
      <c r="BA37" s="74" t="n">
        <v>24</v>
      </c>
      <c r="BB37" s="122" t="s">
        <v>1594</v>
      </c>
      <c r="BC37" s="76" t="n">
        <v>49</v>
      </c>
      <c r="BD37" s="76" t="n">
        <f aca="false">_xlfn.RANK.EQ(BC37,$BC$14:$BC$53,0)</f>
        <v>3</v>
      </c>
    </row>
    <row r="38" customFormat="false" ht="18" hidden="false" customHeight="true" outlineLevel="0" collapsed="false">
      <c r="A38" s="104"/>
      <c r="B38" s="64" t="n">
        <v>33</v>
      </c>
      <c r="C38" s="101" t="s">
        <v>38</v>
      </c>
      <c r="D38" s="66" t="s">
        <v>4133</v>
      </c>
      <c r="E38" s="68" t="s">
        <v>4134</v>
      </c>
      <c r="F38" s="68" t="s">
        <v>4135</v>
      </c>
      <c r="G38" s="68" t="s">
        <v>4136</v>
      </c>
      <c r="H38" s="68" t="s">
        <v>4137</v>
      </c>
      <c r="I38" s="68" t="s">
        <v>4138</v>
      </c>
      <c r="J38" s="68" t="s">
        <v>4139</v>
      </c>
      <c r="K38" s="68" t="s">
        <v>4140</v>
      </c>
      <c r="L38" s="68" t="s">
        <v>4141</v>
      </c>
      <c r="M38" s="68" t="s">
        <v>4142</v>
      </c>
      <c r="N38" s="69" t="s">
        <v>4143</v>
      </c>
      <c r="O38" s="66" t="s">
        <v>4144</v>
      </c>
      <c r="P38" s="68" t="s">
        <v>4145</v>
      </c>
      <c r="Q38" s="68" t="s">
        <v>4146</v>
      </c>
      <c r="R38" s="68" t="s">
        <v>4147</v>
      </c>
      <c r="S38" s="68" t="s">
        <v>4148</v>
      </c>
      <c r="T38" s="68" t="s">
        <v>4149</v>
      </c>
      <c r="U38" s="68" t="s">
        <v>4150</v>
      </c>
      <c r="V38" s="68" t="s">
        <v>4151</v>
      </c>
      <c r="W38" s="68" t="s">
        <v>4152</v>
      </c>
      <c r="X38" s="68" t="s">
        <v>4153</v>
      </c>
      <c r="Y38" s="67" t="s">
        <v>4154</v>
      </c>
      <c r="Z38" s="92" t="s">
        <v>4155</v>
      </c>
      <c r="AA38" s="64" t="s">
        <v>4156</v>
      </c>
      <c r="AB38" s="67" t="s">
        <v>4157</v>
      </c>
      <c r="AC38" s="67" t="s">
        <v>4158</v>
      </c>
      <c r="AD38" s="67" t="s">
        <v>4159</v>
      </c>
      <c r="AE38" s="67" t="s">
        <v>4160</v>
      </c>
      <c r="AF38" s="67" t="s">
        <v>4161</v>
      </c>
      <c r="AG38" s="67" t="s">
        <v>4162</v>
      </c>
      <c r="AH38" s="92" t="s">
        <v>4163</v>
      </c>
      <c r="AI38" s="64" t="s">
        <v>4164</v>
      </c>
      <c r="AJ38" s="61"/>
      <c r="AK38" s="67" t="s">
        <v>4165</v>
      </c>
      <c r="AL38" s="67" t="s">
        <v>4166</v>
      </c>
      <c r="AM38" s="67" t="s">
        <v>4167</v>
      </c>
      <c r="AN38" s="67" t="s">
        <v>4168</v>
      </c>
      <c r="AO38" s="67" t="s">
        <v>4169</v>
      </c>
      <c r="AP38" s="67" t="s">
        <v>4170</v>
      </c>
      <c r="AQ38" s="92" t="s">
        <v>4171</v>
      </c>
      <c r="AR38" s="64" t="s">
        <v>4172</v>
      </c>
      <c r="AS38" s="67" t="s">
        <v>4173</v>
      </c>
      <c r="AT38" s="67" t="s">
        <v>4174</v>
      </c>
      <c r="AU38" s="67" t="s">
        <v>4175</v>
      </c>
      <c r="AV38" s="67" t="s">
        <v>4176</v>
      </c>
      <c r="AW38" s="92" t="s">
        <v>4177</v>
      </c>
      <c r="AX38" s="64" t="s">
        <v>4178</v>
      </c>
      <c r="AY38" s="92" t="s">
        <v>4179</v>
      </c>
      <c r="AZ38" s="57" t="n">
        <v>81</v>
      </c>
      <c r="BA38" s="74" t="n">
        <v>25</v>
      </c>
      <c r="BB38" s="122" t="s">
        <v>1642</v>
      </c>
      <c r="BC38" s="76" t="n">
        <v>8</v>
      </c>
      <c r="BD38" s="76" t="n">
        <f aca="false">_xlfn.RANK.EQ(BC38,$BC$14:$BC$53,0)</f>
        <v>26</v>
      </c>
    </row>
    <row r="39" customFormat="false" ht="18" hidden="false" customHeight="true" outlineLevel="0" collapsed="false">
      <c r="A39" s="104"/>
      <c r="B39" s="60" t="n">
        <v>34</v>
      </c>
      <c r="C39" s="63" t="s">
        <v>4180</v>
      </c>
      <c r="D39" s="60" t="s">
        <v>4181</v>
      </c>
      <c r="E39" s="62" t="s">
        <v>4182</v>
      </c>
      <c r="F39" s="62" t="s">
        <v>4183</v>
      </c>
      <c r="G39" s="62" t="s">
        <v>4184</v>
      </c>
      <c r="H39" s="62" t="s">
        <v>4185</v>
      </c>
      <c r="I39" s="62" t="s">
        <v>4186</v>
      </c>
      <c r="J39" s="62" t="s">
        <v>4187</v>
      </c>
      <c r="K39" s="62" t="s">
        <v>4188</v>
      </c>
      <c r="L39" s="62" t="s">
        <v>4189</v>
      </c>
      <c r="M39" s="62" t="s">
        <v>4190</v>
      </c>
      <c r="N39" s="63" t="s">
        <v>4191</v>
      </c>
      <c r="O39" s="60" t="s">
        <v>4192</v>
      </c>
      <c r="P39" s="62" t="s">
        <v>4193</v>
      </c>
      <c r="Q39" s="62" t="s">
        <v>4194</v>
      </c>
      <c r="R39" s="62" t="s">
        <v>4195</v>
      </c>
      <c r="S39" s="62" t="s">
        <v>4196</v>
      </c>
      <c r="T39" s="62" t="s">
        <v>4197</v>
      </c>
      <c r="U39" s="62" t="s">
        <v>4198</v>
      </c>
      <c r="V39" s="62" t="s">
        <v>4199</v>
      </c>
      <c r="W39" s="62" t="s">
        <v>4200</v>
      </c>
      <c r="X39" s="62" t="s">
        <v>4201</v>
      </c>
      <c r="Y39" s="62" t="s">
        <v>4202</v>
      </c>
      <c r="Z39" s="63" t="s">
        <v>4203</v>
      </c>
      <c r="AA39" s="60" t="s">
        <v>4204</v>
      </c>
      <c r="AB39" s="62" t="s">
        <v>4205</v>
      </c>
      <c r="AC39" s="62" t="s">
        <v>4206</v>
      </c>
      <c r="AD39" s="62" t="s">
        <v>4207</v>
      </c>
      <c r="AE39" s="62" t="s">
        <v>4208</v>
      </c>
      <c r="AF39" s="62" t="s">
        <v>4209</v>
      </c>
      <c r="AG39" s="62" t="s">
        <v>4210</v>
      </c>
      <c r="AH39" s="63" t="s">
        <v>4211</v>
      </c>
      <c r="AI39" s="60" t="s">
        <v>4212</v>
      </c>
      <c r="AJ39" s="62" t="s">
        <v>4213</v>
      </c>
      <c r="AK39" s="61"/>
      <c r="AL39" s="62" t="s">
        <v>4214</v>
      </c>
      <c r="AM39" s="62" t="s">
        <v>4215</v>
      </c>
      <c r="AN39" s="62" t="s">
        <v>4216</v>
      </c>
      <c r="AO39" s="62" t="s">
        <v>4217</v>
      </c>
      <c r="AP39" s="62" t="s">
        <v>4218</v>
      </c>
      <c r="AQ39" s="63" t="s">
        <v>4219</v>
      </c>
      <c r="AR39" s="60" t="s">
        <v>4220</v>
      </c>
      <c r="AS39" s="62" t="s">
        <v>4221</v>
      </c>
      <c r="AT39" s="62" t="s">
        <v>4222</v>
      </c>
      <c r="AU39" s="62" t="s">
        <v>4223</v>
      </c>
      <c r="AV39" s="62" t="s">
        <v>4224</v>
      </c>
      <c r="AW39" s="63" t="s">
        <v>4225</v>
      </c>
      <c r="AX39" s="60" t="s">
        <v>4226</v>
      </c>
      <c r="AY39" s="63" t="s">
        <v>4227</v>
      </c>
      <c r="AZ39" s="57" t="n">
        <v>83</v>
      </c>
      <c r="BA39" s="74" t="n">
        <v>26</v>
      </c>
      <c r="BB39" s="122" t="s">
        <v>1691</v>
      </c>
      <c r="BC39" s="76" t="n">
        <v>1</v>
      </c>
      <c r="BD39" s="76" t="n">
        <f aca="false">_xlfn.RANK.EQ(BC39,$BC$14:$BC$53,0)</f>
        <v>37</v>
      </c>
    </row>
    <row r="40" customFormat="false" ht="18" hidden="false" customHeight="true" outlineLevel="0" collapsed="false">
      <c r="A40" s="104"/>
      <c r="B40" s="64" t="n">
        <v>35</v>
      </c>
      <c r="C40" s="101" t="s">
        <v>1692</v>
      </c>
      <c r="D40" s="66" t="s">
        <v>4228</v>
      </c>
      <c r="E40" s="68" t="s">
        <v>4229</v>
      </c>
      <c r="F40" s="68" t="s">
        <v>4230</v>
      </c>
      <c r="G40" s="68" t="s">
        <v>4231</v>
      </c>
      <c r="H40" s="68" t="s">
        <v>4232</v>
      </c>
      <c r="I40" s="68" t="s">
        <v>4233</v>
      </c>
      <c r="J40" s="68" t="s">
        <v>4234</v>
      </c>
      <c r="K40" s="68" t="s">
        <v>4235</v>
      </c>
      <c r="L40" s="68" t="s">
        <v>4236</v>
      </c>
      <c r="M40" s="68" t="s">
        <v>4237</v>
      </c>
      <c r="N40" s="69" t="s">
        <v>4238</v>
      </c>
      <c r="O40" s="66" t="s">
        <v>4239</v>
      </c>
      <c r="P40" s="68" t="s">
        <v>4240</v>
      </c>
      <c r="Q40" s="68" t="s">
        <v>4241</v>
      </c>
      <c r="R40" s="68" t="s">
        <v>4242</v>
      </c>
      <c r="S40" s="68" t="s">
        <v>4243</v>
      </c>
      <c r="T40" s="68" t="s">
        <v>4244</v>
      </c>
      <c r="U40" s="68" t="s">
        <v>4245</v>
      </c>
      <c r="V40" s="68" t="s">
        <v>4246</v>
      </c>
      <c r="W40" s="68" t="s">
        <v>4247</v>
      </c>
      <c r="X40" s="68" t="s">
        <v>4248</v>
      </c>
      <c r="Y40" s="67" t="s">
        <v>4249</v>
      </c>
      <c r="Z40" s="92" t="s">
        <v>4250</v>
      </c>
      <c r="AA40" s="64" t="s">
        <v>4251</v>
      </c>
      <c r="AB40" s="67" t="s">
        <v>4252</v>
      </c>
      <c r="AC40" s="67" t="s">
        <v>4253</v>
      </c>
      <c r="AD40" s="67" t="s">
        <v>4254</v>
      </c>
      <c r="AE40" s="67" t="s">
        <v>4255</v>
      </c>
      <c r="AF40" s="67" t="s">
        <v>4256</v>
      </c>
      <c r="AG40" s="67" t="s">
        <v>4257</v>
      </c>
      <c r="AH40" s="92" t="s">
        <v>4258</v>
      </c>
      <c r="AI40" s="64" t="s">
        <v>4259</v>
      </c>
      <c r="AJ40" s="67" t="s">
        <v>4260</v>
      </c>
      <c r="AK40" s="67" t="s">
        <v>4261</v>
      </c>
      <c r="AL40" s="61"/>
      <c r="AM40" s="67" t="s">
        <v>4262</v>
      </c>
      <c r="AN40" s="67" t="s">
        <v>4263</v>
      </c>
      <c r="AO40" s="67" t="s">
        <v>4264</v>
      </c>
      <c r="AP40" s="67" t="s">
        <v>4265</v>
      </c>
      <c r="AQ40" s="92" t="s">
        <v>4266</v>
      </c>
      <c r="AR40" s="64" t="s">
        <v>4267</v>
      </c>
      <c r="AS40" s="67" t="s">
        <v>4268</v>
      </c>
      <c r="AT40" s="67" t="s">
        <v>4269</v>
      </c>
      <c r="AU40" s="67" t="s">
        <v>4270</v>
      </c>
      <c r="AV40" s="67" t="s">
        <v>4271</v>
      </c>
      <c r="AW40" s="92" t="s">
        <v>4272</v>
      </c>
      <c r="AX40" s="64" t="s">
        <v>4273</v>
      </c>
      <c r="AY40" s="92" t="s">
        <v>4274</v>
      </c>
      <c r="AZ40" s="57" t="n">
        <v>53</v>
      </c>
      <c r="BA40" s="74" t="n">
        <v>27</v>
      </c>
      <c r="BB40" s="122" t="s">
        <v>1740</v>
      </c>
      <c r="BC40" s="76" t="n">
        <v>5</v>
      </c>
      <c r="BD40" s="76" t="n">
        <f aca="false">_xlfn.RANK.EQ(BC40,$BC$14:$BC$53,0)</f>
        <v>29</v>
      </c>
    </row>
    <row r="41" customFormat="false" ht="18" hidden="false" customHeight="true" outlineLevel="0" collapsed="false">
      <c r="A41" s="104"/>
      <c r="B41" s="60" t="n">
        <v>36</v>
      </c>
      <c r="C41" s="63" t="s">
        <v>41</v>
      </c>
      <c r="D41" s="60" t="s">
        <v>4275</v>
      </c>
      <c r="E41" s="62" t="s">
        <v>4276</v>
      </c>
      <c r="F41" s="62" t="s">
        <v>4277</v>
      </c>
      <c r="G41" s="62" t="s">
        <v>4278</v>
      </c>
      <c r="H41" s="62" t="s">
        <v>4279</v>
      </c>
      <c r="I41" s="62" t="s">
        <v>4280</v>
      </c>
      <c r="J41" s="62" t="s">
        <v>4281</v>
      </c>
      <c r="K41" s="62" t="s">
        <v>4282</v>
      </c>
      <c r="L41" s="62" t="s">
        <v>4283</v>
      </c>
      <c r="M41" s="62" t="s">
        <v>4284</v>
      </c>
      <c r="N41" s="63" t="s">
        <v>4285</v>
      </c>
      <c r="O41" s="60" t="s">
        <v>4286</v>
      </c>
      <c r="P41" s="62" t="s">
        <v>4287</v>
      </c>
      <c r="Q41" s="62" t="s">
        <v>4288</v>
      </c>
      <c r="R41" s="62" t="s">
        <v>4289</v>
      </c>
      <c r="S41" s="62" t="s">
        <v>4290</v>
      </c>
      <c r="T41" s="62" t="s">
        <v>4291</v>
      </c>
      <c r="U41" s="62" t="s">
        <v>4292</v>
      </c>
      <c r="V41" s="62" t="s">
        <v>4293</v>
      </c>
      <c r="W41" s="62" t="s">
        <v>4294</v>
      </c>
      <c r="X41" s="62" t="s">
        <v>4295</v>
      </c>
      <c r="Y41" s="62" t="s">
        <v>4296</v>
      </c>
      <c r="Z41" s="63" t="s">
        <v>4297</v>
      </c>
      <c r="AA41" s="60" t="s">
        <v>4298</v>
      </c>
      <c r="AB41" s="62" t="s">
        <v>4299</v>
      </c>
      <c r="AC41" s="62" t="s">
        <v>4300</v>
      </c>
      <c r="AD41" s="62" t="s">
        <v>4301</v>
      </c>
      <c r="AE41" s="62" t="s">
        <v>4302</v>
      </c>
      <c r="AF41" s="62" t="s">
        <v>4303</v>
      </c>
      <c r="AG41" s="62" t="s">
        <v>4304</v>
      </c>
      <c r="AH41" s="63" t="s">
        <v>4305</v>
      </c>
      <c r="AI41" s="60" t="s">
        <v>4306</v>
      </c>
      <c r="AJ41" s="62" t="s">
        <v>4307</v>
      </c>
      <c r="AK41" s="62" t="s">
        <v>4308</v>
      </c>
      <c r="AL41" s="62" t="s">
        <v>4309</v>
      </c>
      <c r="AM41" s="61"/>
      <c r="AN41" s="62" t="s">
        <v>4310</v>
      </c>
      <c r="AO41" s="62" t="s">
        <v>4311</v>
      </c>
      <c r="AP41" s="62" t="s">
        <v>4312</v>
      </c>
      <c r="AQ41" s="63" t="s">
        <v>4313</v>
      </c>
      <c r="AR41" s="60" t="s">
        <v>4314</v>
      </c>
      <c r="AS41" s="62" t="s">
        <v>4315</v>
      </c>
      <c r="AT41" s="62" t="s">
        <v>4316</v>
      </c>
      <c r="AU41" s="62" t="s">
        <v>4317</v>
      </c>
      <c r="AV41" s="62" t="s">
        <v>4318</v>
      </c>
      <c r="AW41" s="63" t="s">
        <v>4319</v>
      </c>
      <c r="AX41" s="60" t="s">
        <v>4320</v>
      </c>
      <c r="AY41" s="63" t="s">
        <v>4321</v>
      </c>
      <c r="AZ41" s="57" t="n">
        <v>19</v>
      </c>
      <c r="BA41" s="74" t="n">
        <v>28</v>
      </c>
      <c r="BB41" s="122" t="s">
        <v>1788</v>
      </c>
      <c r="BC41" s="76" t="n">
        <v>41</v>
      </c>
      <c r="BD41" s="76" t="n">
        <f aca="false">_xlfn.RANK.EQ(BC41,$BC$14:$BC$53,0)</f>
        <v>5</v>
      </c>
    </row>
    <row r="42" customFormat="false" ht="18" hidden="false" customHeight="true" outlineLevel="0" collapsed="false">
      <c r="A42" s="104"/>
      <c r="B42" s="64" t="n">
        <v>37</v>
      </c>
      <c r="C42" s="101" t="s">
        <v>42</v>
      </c>
      <c r="D42" s="66" t="s">
        <v>4322</v>
      </c>
      <c r="E42" s="68" t="s">
        <v>4323</v>
      </c>
      <c r="F42" s="68" t="s">
        <v>4324</v>
      </c>
      <c r="G42" s="68" t="s">
        <v>4325</v>
      </c>
      <c r="H42" s="68" t="s">
        <v>4326</v>
      </c>
      <c r="I42" s="68" t="s">
        <v>4327</v>
      </c>
      <c r="J42" s="68" t="s">
        <v>4328</v>
      </c>
      <c r="K42" s="68" t="s">
        <v>4329</v>
      </c>
      <c r="L42" s="68" t="s">
        <v>4330</v>
      </c>
      <c r="M42" s="68" t="s">
        <v>4331</v>
      </c>
      <c r="N42" s="69" t="s">
        <v>4332</v>
      </c>
      <c r="O42" s="66" t="s">
        <v>4333</v>
      </c>
      <c r="P42" s="68" t="s">
        <v>4334</v>
      </c>
      <c r="Q42" s="68" t="s">
        <v>4335</v>
      </c>
      <c r="R42" s="68" t="s">
        <v>4336</v>
      </c>
      <c r="S42" s="68" t="s">
        <v>4337</v>
      </c>
      <c r="T42" s="68" t="s">
        <v>4338</v>
      </c>
      <c r="U42" s="68" t="s">
        <v>4339</v>
      </c>
      <c r="V42" s="68" t="s">
        <v>4340</v>
      </c>
      <c r="W42" s="68" t="s">
        <v>4341</v>
      </c>
      <c r="X42" s="68" t="s">
        <v>4342</v>
      </c>
      <c r="Y42" s="67" t="s">
        <v>4343</v>
      </c>
      <c r="Z42" s="92" t="s">
        <v>4344</v>
      </c>
      <c r="AA42" s="64" t="s">
        <v>4345</v>
      </c>
      <c r="AB42" s="67" t="s">
        <v>4346</v>
      </c>
      <c r="AC42" s="67" t="s">
        <v>4347</v>
      </c>
      <c r="AD42" s="67" t="s">
        <v>4348</v>
      </c>
      <c r="AE42" s="67" t="s">
        <v>4349</v>
      </c>
      <c r="AF42" s="67" t="s">
        <v>4350</v>
      </c>
      <c r="AG42" s="67" t="s">
        <v>4351</v>
      </c>
      <c r="AH42" s="92" t="s">
        <v>4352</v>
      </c>
      <c r="AI42" s="64" t="s">
        <v>4353</v>
      </c>
      <c r="AJ42" s="67" t="s">
        <v>4354</v>
      </c>
      <c r="AK42" s="67" t="s">
        <v>4355</v>
      </c>
      <c r="AL42" s="67" t="s">
        <v>4356</v>
      </c>
      <c r="AM42" s="67" t="s">
        <v>4357</v>
      </c>
      <c r="AN42" s="61"/>
      <c r="AO42" s="67" t="s">
        <v>4358</v>
      </c>
      <c r="AP42" s="67" t="s">
        <v>4359</v>
      </c>
      <c r="AQ42" s="92" t="s">
        <v>4360</v>
      </c>
      <c r="AR42" s="64" t="s">
        <v>4361</v>
      </c>
      <c r="AS42" s="67" t="s">
        <v>4362</v>
      </c>
      <c r="AT42" s="67" t="s">
        <v>4363</v>
      </c>
      <c r="AU42" s="67" t="s">
        <v>4364</v>
      </c>
      <c r="AV42" s="67" t="s">
        <v>4365</v>
      </c>
      <c r="AW42" s="92" t="s">
        <v>4366</v>
      </c>
      <c r="AX42" s="64" t="s">
        <v>4367</v>
      </c>
      <c r="AY42" s="92" t="s">
        <v>4368</v>
      </c>
      <c r="AZ42" s="57" t="n">
        <v>63</v>
      </c>
      <c r="BA42" s="74" t="n">
        <v>29</v>
      </c>
      <c r="BB42" s="122" t="s">
        <v>1836</v>
      </c>
      <c r="BC42" s="76" t="n">
        <v>11</v>
      </c>
      <c r="BD42" s="76" t="n">
        <f aca="false">_xlfn.RANK.EQ(BC42,$BC$14:$BC$53,0)</f>
        <v>21</v>
      </c>
    </row>
    <row r="43" customFormat="false" ht="18" hidden="false" customHeight="true" outlineLevel="0" collapsed="false">
      <c r="A43" s="104"/>
      <c r="B43" s="60" t="n">
        <v>38</v>
      </c>
      <c r="C43" s="63" t="s">
        <v>1837</v>
      </c>
      <c r="D43" s="60" t="s">
        <v>4369</v>
      </c>
      <c r="E43" s="62" t="s">
        <v>4370</v>
      </c>
      <c r="F43" s="62" t="s">
        <v>4371</v>
      </c>
      <c r="G43" s="62" t="s">
        <v>4372</v>
      </c>
      <c r="H43" s="62" t="s">
        <v>4373</v>
      </c>
      <c r="I43" s="62" t="s">
        <v>4374</v>
      </c>
      <c r="J43" s="62" t="s">
        <v>4375</v>
      </c>
      <c r="K43" s="62" t="s">
        <v>4376</v>
      </c>
      <c r="L43" s="62" t="s">
        <v>4377</v>
      </c>
      <c r="M43" s="62" t="s">
        <v>4378</v>
      </c>
      <c r="N43" s="63" t="s">
        <v>4379</v>
      </c>
      <c r="O43" s="60" t="s">
        <v>4380</v>
      </c>
      <c r="P43" s="62" t="s">
        <v>4381</v>
      </c>
      <c r="Q43" s="62" t="s">
        <v>4382</v>
      </c>
      <c r="R43" s="62" t="s">
        <v>4383</v>
      </c>
      <c r="S43" s="62" t="s">
        <v>4384</v>
      </c>
      <c r="T43" s="62" t="s">
        <v>4385</v>
      </c>
      <c r="U43" s="62" t="s">
        <v>4386</v>
      </c>
      <c r="V43" s="62" t="s">
        <v>4387</v>
      </c>
      <c r="W43" s="62" t="s">
        <v>4388</v>
      </c>
      <c r="X43" s="62" t="s">
        <v>4389</v>
      </c>
      <c r="Y43" s="62" t="s">
        <v>4390</v>
      </c>
      <c r="Z43" s="63" t="s">
        <v>4391</v>
      </c>
      <c r="AA43" s="60" t="s">
        <v>4392</v>
      </c>
      <c r="AB43" s="62" t="s">
        <v>4393</v>
      </c>
      <c r="AC43" s="62" t="s">
        <v>4394</v>
      </c>
      <c r="AD43" s="62" t="s">
        <v>4395</v>
      </c>
      <c r="AE43" s="62" t="s">
        <v>4396</v>
      </c>
      <c r="AF43" s="62" t="s">
        <v>4397</v>
      </c>
      <c r="AG43" s="62" t="s">
        <v>4398</v>
      </c>
      <c r="AH43" s="63" t="s">
        <v>4399</v>
      </c>
      <c r="AI43" s="60" t="s">
        <v>4400</v>
      </c>
      <c r="AJ43" s="62" t="s">
        <v>4401</v>
      </c>
      <c r="AK43" s="62" t="s">
        <v>4402</v>
      </c>
      <c r="AL43" s="62" t="s">
        <v>4403</v>
      </c>
      <c r="AM43" s="62" t="s">
        <v>4404</v>
      </c>
      <c r="AN43" s="62" t="s">
        <v>4405</v>
      </c>
      <c r="AO43" s="61"/>
      <c r="AP43" s="62" t="s">
        <v>4406</v>
      </c>
      <c r="AQ43" s="63" t="s">
        <v>4407</v>
      </c>
      <c r="AR43" s="60" t="s">
        <v>4408</v>
      </c>
      <c r="AS43" s="62" t="s">
        <v>4409</v>
      </c>
      <c r="AT43" s="62" t="s">
        <v>4410</v>
      </c>
      <c r="AU43" s="62" t="s">
        <v>4411</v>
      </c>
      <c r="AV43" s="62" t="s">
        <v>4412</v>
      </c>
      <c r="AW43" s="63" t="s">
        <v>4413</v>
      </c>
      <c r="AX43" s="60" t="s">
        <v>4414</v>
      </c>
      <c r="AY43" s="63" t="s">
        <v>4415</v>
      </c>
      <c r="AZ43" s="57" t="n">
        <v>63</v>
      </c>
      <c r="BA43" s="74" t="n">
        <v>30</v>
      </c>
      <c r="BB43" s="122" t="s">
        <v>1885</v>
      </c>
      <c r="BC43" s="76" t="n">
        <v>15</v>
      </c>
      <c r="BD43" s="76" t="n">
        <f aca="false">_xlfn.RANK.EQ(BC43,$BC$14:$BC$53,0)</f>
        <v>17</v>
      </c>
    </row>
    <row r="44" customFormat="false" ht="18" hidden="false" customHeight="true" outlineLevel="0" collapsed="false">
      <c r="A44" s="104"/>
      <c r="B44" s="64" t="n">
        <v>39</v>
      </c>
      <c r="C44" s="101" t="s">
        <v>44</v>
      </c>
      <c r="D44" s="66" t="s">
        <v>4416</v>
      </c>
      <c r="E44" s="68" t="s">
        <v>4417</v>
      </c>
      <c r="F44" s="68" t="s">
        <v>4418</v>
      </c>
      <c r="G44" s="68" t="s">
        <v>4419</v>
      </c>
      <c r="H44" s="68" t="s">
        <v>4420</v>
      </c>
      <c r="I44" s="68" t="s">
        <v>4421</v>
      </c>
      <c r="J44" s="68" t="s">
        <v>4422</v>
      </c>
      <c r="K44" s="68" t="s">
        <v>4423</v>
      </c>
      <c r="L44" s="68" t="s">
        <v>4424</v>
      </c>
      <c r="M44" s="68" t="s">
        <v>4425</v>
      </c>
      <c r="N44" s="69" t="s">
        <v>4426</v>
      </c>
      <c r="O44" s="66" t="s">
        <v>4427</v>
      </c>
      <c r="P44" s="68" t="s">
        <v>4428</v>
      </c>
      <c r="Q44" s="68" t="s">
        <v>4429</v>
      </c>
      <c r="R44" s="68" t="s">
        <v>4430</v>
      </c>
      <c r="S44" s="68" t="s">
        <v>4431</v>
      </c>
      <c r="T44" s="68" t="s">
        <v>4432</v>
      </c>
      <c r="U44" s="68" t="s">
        <v>4433</v>
      </c>
      <c r="V44" s="68" t="s">
        <v>4434</v>
      </c>
      <c r="W44" s="68" t="s">
        <v>4435</v>
      </c>
      <c r="X44" s="68" t="s">
        <v>4436</v>
      </c>
      <c r="Y44" s="67" t="s">
        <v>4437</v>
      </c>
      <c r="Z44" s="92" t="s">
        <v>4438</v>
      </c>
      <c r="AA44" s="64" t="s">
        <v>4439</v>
      </c>
      <c r="AB44" s="67" t="s">
        <v>4440</v>
      </c>
      <c r="AC44" s="67" t="s">
        <v>4441</v>
      </c>
      <c r="AD44" s="67" t="s">
        <v>4442</v>
      </c>
      <c r="AE44" s="67" t="s">
        <v>4443</v>
      </c>
      <c r="AF44" s="67" t="s">
        <v>4444</v>
      </c>
      <c r="AG44" s="67" t="s">
        <v>4445</v>
      </c>
      <c r="AH44" s="92" t="s">
        <v>4446</v>
      </c>
      <c r="AI44" s="64" t="s">
        <v>4447</v>
      </c>
      <c r="AJ44" s="67" t="s">
        <v>4448</v>
      </c>
      <c r="AK44" s="67" t="s">
        <v>4449</v>
      </c>
      <c r="AL44" s="67" t="s">
        <v>4450</v>
      </c>
      <c r="AM44" s="67" t="s">
        <v>4451</v>
      </c>
      <c r="AN44" s="67" t="s">
        <v>4452</v>
      </c>
      <c r="AO44" s="67" t="s">
        <v>4453</v>
      </c>
      <c r="AP44" s="61"/>
      <c r="AQ44" s="92" t="s">
        <v>4454</v>
      </c>
      <c r="AR44" s="64" t="s">
        <v>4455</v>
      </c>
      <c r="AS44" s="67" t="s">
        <v>4456</v>
      </c>
      <c r="AT44" s="67" t="s">
        <v>4457</v>
      </c>
      <c r="AU44" s="67" t="s">
        <v>4458</v>
      </c>
      <c r="AV44" s="67" t="s">
        <v>4459</v>
      </c>
      <c r="AW44" s="92" t="s">
        <v>4460</v>
      </c>
      <c r="AX44" s="64" t="s">
        <v>4461</v>
      </c>
      <c r="AY44" s="92" t="s">
        <v>4462</v>
      </c>
      <c r="AZ44" s="57" t="n">
        <v>18</v>
      </c>
      <c r="BA44" s="74" t="n">
        <v>31</v>
      </c>
      <c r="BB44" s="122" t="s">
        <v>1933</v>
      </c>
      <c r="BC44" s="76" t="n">
        <v>22</v>
      </c>
      <c r="BD44" s="76" t="n">
        <f aca="false">_xlfn.RANK.EQ(BC44,$BC$14:$BC$53,0)</f>
        <v>13</v>
      </c>
    </row>
    <row r="45" customFormat="false" ht="18" hidden="false" customHeight="true" outlineLevel="0" collapsed="false">
      <c r="A45" s="104"/>
      <c r="B45" s="105" t="n">
        <v>40</v>
      </c>
      <c r="C45" s="106" t="s">
        <v>1934</v>
      </c>
      <c r="D45" s="105" t="s">
        <v>4463</v>
      </c>
      <c r="E45" s="107" t="s">
        <v>4464</v>
      </c>
      <c r="F45" s="107" t="s">
        <v>4465</v>
      </c>
      <c r="G45" s="107" t="s">
        <v>4466</v>
      </c>
      <c r="H45" s="107" t="s">
        <v>4467</v>
      </c>
      <c r="I45" s="107" t="s">
        <v>4468</v>
      </c>
      <c r="J45" s="107" t="s">
        <v>4469</v>
      </c>
      <c r="K45" s="107" t="s">
        <v>4470</v>
      </c>
      <c r="L45" s="107" t="s">
        <v>4471</v>
      </c>
      <c r="M45" s="107" t="s">
        <v>4472</v>
      </c>
      <c r="N45" s="108" t="s">
        <v>4473</v>
      </c>
      <c r="O45" s="105" t="s">
        <v>4474</v>
      </c>
      <c r="P45" s="107" t="s">
        <v>4475</v>
      </c>
      <c r="Q45" s="107" t="s">
        <v>4476</v>
      </c>
      <c r="R45" s="107" t="s">
        <v>4477</v>
      </c>
      <c r="S45" s="107" t="s">
        <v>4478</v>
      </c>
      <c r="T45" s="107" t="s">
        <v>4479</v>
      </c>
      <c r="U45" s="107" t="s">
        <v>4480</v>
      </c>
      <c r="V45" s="107" t="s">
        <v>4481</v>
      </c>
      <c r="W45" s="107" t="s">
        <v>4482</v>
      </c>
      <c r="X45" s="107" t="s">
        <v>4483</v>
      </c>
      <c r="Y45" s="107" t="s">
        <v>4484</v>
      </c>
      <c r="Z45" s="108" t="s">
        <v>4485</v>
      </c>
      <c r="AA45" s="105" t="s">
        <v>4486</v>
      </c>
      <c r="AB45" s="107" t="s">
        <v>4487</v>
      </c>
      <c r="AC45" s="107" t="s">
        <v>4488</v>
      </c>
      <c r="AD45" s="107" t="s">
        <v>4489</v>
      </c>
      <c r="AE45" s="107" t="s">
        <v>4490</v>
      </c>
      <c r="AF45" s="107" t="s">
        <v>4491</v>
      </c>
      <c r="AG45" s="107" t="s">
        <v>4492</v>
      </c>
      <c r="AH45" s="108" t="s">
        <v>4493</v>
      </c>
      <c r="AI45" s="105" t="s">
        <v>4494</v>
      </c>
      <c r="AJ45" s="107" t="s">
        <v>4495</v>
      </c>
      <c r="AK45" s="107" t="s">
        <v>4496</v>
      </c>
      <c r="AL45" s="107" t="s">
        <v>4497</v>
      </c>
      <c r="AM45" s="107" t="s">
        <v>4498</v>
      </c>
      <c r="AN45" s="107" t="s">
        <v>4499</v>
      </c>
      <c r="AO45" s="107" t="s">
        <v>4500</v>
      </c>
      <c r="AP45" s="107" t="s">
        <v>4501</v>
      </c>
      <c r="AQ45" s="98"/>
      <c r="AR45" s="105" t="s">
        <v>4502</v>
      </c>
      <c r="AS45" s="107" t="s">
        <v>4503</v>
      </c>
      <c r="AT45" s="107" t="s">
        <v>4504</v>
      </c>
      <c r="AU45" s="107" t="s">
        <v>4505</v>
      </c>
      <c r="AV45" s="107" t="s">
        <v>4506</v>
      </c>
      <c r="AW45" s="108" t="s">
        <v>4507</v>
      </c>
      <c r="AX45" s="105" t="s">
        <v>4508</v>
      </c>
      <c r="AY45" s="108" t="s">
        <v>4509</v>
      </c>
      <c r="AZ45" s="57" t="n">
        <v>30</v>
      </c>
      <c r="BA45" s="74" t="n">
        <v>32</v>
      </c>
      <c r="BB45" s="122" t="s">
        <v>1982</v>
      </c>
      <c r="BC45" s="76" t="n">
        <v>3</v>
      </c>
      <c r="BD45" s="76" t="n">
        <f aca="false">_xlfn.RANK.EQ(BC45,$BC$14:$BC$53,0)</f>
        <v>32</v>
      </c>
    </row>
    <row r="46" customFormat="false" ht="18" hidden="false" customHeight="true" outlineLevel="0" collapsed="false">
      <c r="A46" s="109" t="s">
        <v>4</v>
      </c>
      <c r="B46" s="110" t="n">
        <v>41</v>
      </c>
      <c r="C46" s="111" t="s">
        <v>1983</v>
      </c>
      <c r="D46" s="56" t="s">
        <v>4510</v>
      </c>
      <c r="E46" s="54" t="s">
        <v>4511</v>
      </c>
      <c r="F46" s="54" t="s">
        <v>4512</v>
      </c>
      <c r="G46" s="54" t="s">
        <v>4513</v>
      </c>
      <c r="H46" s="54" t="s">
        <v>4514</v>
      </c>
      <c r="I46" s="54" t="s">
        <v>4515</v>
      </c>
      <c r="J46" s="54" t="s">
        <v>4516</v>
      </c>
      <c r="K46" s="54" t="s">
        <v>4517</v>
      </c>
      <c r="L46" s="54" t="s">
        <v>4518</v>
      </c>
      <c r="M46" s="54" t="s">
        <v>4519</v>
      </c>
      <c r="N46" s="55" t="s">
        <v>4520</v>
      </c>
      <c r="O46" s="56" t="s">
        <v>4521</v>
      </c>
      <c r="P46" s="54" t="s">
        <v>4522</v>
      </c>
      <c r="Q46" s="54" t="s">
        <v>4523</v>
      </c>
      <c r="R46" s="54" t="s">
        <v>4524</v>
      </c>
      <c r="S46" s="54" t="s">
        <v>4525</v>
      </c>
      <c r="T46" s="54" t="s">
        <v>4526</v>
      </c>
      <c r="U46" s="54" t="s">
        <v>4527</v>
      </c>
      <c r="V46" s="54" t="s">
        <v>4528</v>
      </c>
      <c r="W46" s="54" t="s">
        <v>4529</v>
      </c>
      <c r="X46" s="54" t="s">
        <v>4530</v>
      </c>
      <c r="Y46" s="112" t="s">
        <v>4531</v>
      </c>
      <c r="Z46" s="113" t="s">
        <v>4532</v>
      </c>
      <c r="AA46" s="110" t="s">
        <v>4533</v>
      </c>
      <c r="AB46" s="112" t="s">
        <v>4534</v>
      </c>
      <c r="AC46" s="112" t="s">
        <v>4535</v>
      </c>
      <c r="AD46" s="112" t="s">
        <v>4536</v>
      </c>
      <c r="AE46" s="112" t="s">
        <v>4537</v>
      </c>
      <c r="AF46" s="112" t="s">
        <v>4538</v>
      </c>
      <c r="AG46" s="112" t="s">
        <v>4539</v>
      </c>
      <c r="AH46" s="113" t="s">
        <v>4540</v>
      </c>
      <c r="AI46" s="110" t="s">
        <v>4541</v>
      </c>
      <c r="AJ46" s="112" t="s">
        <v>4542</v>
      </c>
      <c r="AK46" s="112" t="s">
        <v>4543</v>
      </c>
      <c r="AL46" s="112" t="s">
        <v>4544</v>
      </c>
      <c r="AM46" s="112" t="s">
        <v>4545</v>
      </c>
      <c r="AN46" s="112" t="s">
        <v>4546</v>
      </c>
      <c r="AO46" s="112" t="s">
        <v>4547</v>
      </c>
      <c r="AP46" s="112" t="s">
        <v>4548</v>
      </c>
      <c r="AQ46" s="113" t="s">
        <v>4549</v>
      </c>
      <c r="AR46" s="53"/>
      <c r="AS46" s="112" t="s">
        <v>4550</v>
      </c>
      <c r="AT46" s="112" t="s">
        <v>4551</v>
      </c>
      <c r="AU46" s="112" t="s">
        <v>4552</v>
      </c>
      <c r="AV46" s="112" t="s">
        <v>4553</v>
      </c>
      <c r="AW46" s="113" t="s">
        <v>4554</v>
      </c>
      <c r="AX46" s="110" t="s">
        <v>4555</v>
      </c>
      <c r="AY46" s="113" t="s">
        <v>4556</v>
      </c>
      <c r="AZ46" s="57" t="n">
        <v>54</v>
      </c>
      <c r="BA46" s="74" t="n">
        <v>33</v>
      </c>
      <c r="BB46" s="122" t="s">
        <v>2031</v>
      </c>
      <c r="BC46" s="76" t="n">
        <v>5</v>
      </c>
      <c r="BD46" s="76" t="n">
        <f aca="false">_xlfn.RANK.EQ(BC46,$BC$14:$BC$53,0)</f>
        <v>29</v>
      </c>
    </row>
    <row r="47" customFormat="false" ht="18" hidden="false" customHeight="true" outlineLevel="0" collapsed="false">
      <c r="A47" s="109"/>
      <c r="B47" s="60" t="n">
        <v>42</v>
      </c>
      <c r="C47" s="63" t="s">
        <v>2032</v>
      </c>
      <c r="D47" s="60" t="s">
        <v>4557</v>
      </c>
      <c r="E47" s="62" t="s">
        <v>4558</v>
      </c>
      <c r="F47" s="62" t="s">
        <v>4559</v>
      </c>
      <c r="G47" s="62" t="s">
        <v>4560</v>
      </c>
      <c r="H47" s="62" t="s">
        <v>4561</v>
      </c>
      <c r="I47" s="62" t="s">
        <v>4562</v>
      </c>
      <c r="J47" s="62" t="s">
        <v>4563</v>
      </c>
      <c r="K47" s="62" t="s">
        <v>4564</v>
      </c>
      <c r="L47" s="62" t="s">
        <v>4565</v>
      </c>
      <c r="M47" s="62" t="s">
        <v>4566</v>
      </c>
      <c r="N47" s="63" t="s">
        <v>4567</v>
      </c>
      <c r="O47" s="60" t="s">
        <v>4568</v>
      </c>
      <c r="P47" s="62" t="s">
        <v>4569</v>
      </c>
      <c r="Q47" s="62" t="s">
        <v>4570</v>
      </c>
      <c r="R47" s="62" t="s">
        <v>4571</v>
      </c>
      <c r="S47" s="62" t="s">
        <v>4572</v>
      </c>
      <c r="T47" s="62" t="s">
        <v>4573</v>
      </c>
      <c r="U47" s="62" t="s">
        <v>4574</v>
      </c>
      <c r="V47" s="62" t="s">
        <v>4575</v>
      </c>
      <c r="W47" s="62" t="s">
        <v>4576</v>
      </c>
      <c r="X47" s="62" t="s">
        <v>4577</v>
      </c>
      <c r="Y47" s="62" t="s">
        <v>4578</v>
      </c>
      <c r="Z47" s="63" t="s">
        <v>4579</v>
      </c>
      <c r="AA47" s="60" t="s">
        <v>4580</v>
      </c>
      <c r="AB47" s="62" t="s">
        <v>4581</v>
      </c>
      <c r="AC47" s="62" t="s">
        <v>4582</v>
      </c>
      <c r="AD47" s="62" t="s">
        <v>4583</v>
      </c>
      <c r="AE47" s="62" t="s">
        <v>4584</v>
      </c>
      <c r="AF47" s="62" t="s">
        <v>4585</v>
      </c>
      <c r="AG47" s="62" t="s">
        <v>4586</v>
      </c>
      <c r="AH47" s="63" t="s">
        <v>4587</v>
      </c>
      <c r="AI47" s="60" t="s">
        <v>4588</v>
      </c>
      <c r="AJ47" s="62" t="s">
        <v>4589</v>
      </c>
      <c r="AK47" s="62" t="s">
        <v>4590</v>
      </c>
      <c r="AL47" s="62" t="s">
        <v>4591</v>
      </c>
      <c r="AM47" s="62" t="s">
        <v>4592</v>
      </c>
      <c r="AN47" s="62" t="s">
        <v>4593</v>
      </c>
      <c r="AO47" s="62" t="s">
        <v>4594</v>
      </c>
      <c r="AP47" s="62" t="s">
        <v>4595</v>
      </c>
      <c r="AQ47" s="63" t="s">
        <v>4596</v>
      </c>
      <c r="AR47" s="60" t="s">
        <v>4597</v>
      </c>
      <c r="AS47" s="61"/>
      <c r="AT47" s="62" t="s">
        <v>4598</v>
      </c>
      <c r="AU47" s="62" t="s">
        <v>4599</v>
      </c>
      <c r="AV47" s="62" t="s">
        <v>4600</v>
      </c>
      <c r="AW47" s="63" t="s">
        <v>4601</v>
      </c>
      <c r="AX47" s="60" t="s">
        <v>4602</v>
      </c>
      <c r="AY47" s="63" t="s">
        <v>4603</v>
      </c>
      <c r="AZ47" s="57" t="n">
        <v>33</v>
      </c>
      <c r="BA47" s="74" t="n">
        <v>34</v>
      </c>
      <c r="BB47" s="122" t="s">
        <v>2080</v>
      </c>
      <c r="BC47" s="76" t="n">
        <v>30</v>
      </c>
      <c r="BD47" s="76" t="n">
        <f aca="false">_xlfn.RANK.EQ(BC47,$BC$14:$BC$53,0)</f>
        <v>10</v>
      </c>
    </row>
    <row r="48" customFormat="false" ht="18" hidden="false" customHeight="true" outlineLevel="0" collapsed="false">
      <c r="A48" s="109"/>
      <c r="B48" s="64" t="n">
        <v>43</v>
      </c>
      <c r="C48" s="101" t="s">
        <v>48</v>
      </c>
      <c r="D48" s="66" t="s">
        <v>4604</v>
      </c>
      <c r="E48" s="68" t="s">
        <v>4605</v>
      </c>
      <c r="F48" s="68" t="s">
        <v>4606</v>
      </c>
      <c r="G48" s="68" t="s">
        <v>4607</v>
      </c>
      <c r="H48" s="68" t="s">
        <v>4608</v>
      </c>
      <c r="I48" s="68" t="s">
        <v>4609</v>
      </c>
      <c r="J48" s="68" t="s">
        <v>4610</v>
      </c>
      <c r="K48" s="67" t="s">
        <v>4611</v>
      </c>
      <c r="L48" s="68" t="s">
        <v>4612</v>
      </c>
      <c r="M48" s="68" t="s">
        <v>4613</v>
      </c>
      <c r="N48" s="69" t="s">
        <v>4614</v>
      </c>
      <c r="O48" s="66" t="s">
        <v>4615</v>
      </c>
      <c r="P48" s="68" t="s">
        <v>4616</v>
      </c>
      <c r="Q48" s="68" t="s">
        <v>4617</v>
      </c>
      <c r="R48" s="68" t="s">
        <v>4618</v>
      </c>
      <c r="S48" s="68" t="s">
        <v>4619</v>
      </c>
      <c r="T48" s="68" t="s">
        <v>4620</v>
      </c>
      <c r="U48" s="68" t="s">
        <v>4621</v>
      </c>
      <c r="V48" s="68" t="s">
        <v>4622</v>
      </c>
      <c r="W48" s="68" t="s">
        <v>4623</v>
      </c>
      <c r="X48" s="68" t="s">
        <v>4624</v>
      </c>
      <c r="Y48" s="67" t="s">
        <v>4625</v>
      </c>
      <c r="Z48" s="92" t="s">
        <v>4626</v>
      </c>
      <c r="AA48" s="64" t="s">
        <v>4627</v>
      </c>
      <c r="AB48" s="67" t="s">
        <v>4628</v>
      </c>
      <c r="AC48" s="67" t="s">
        <v>4629</v>
      </c>
      <c r="AD48" s="67" t="s">
        <v>4630</v>
      </c>
      <c r="AE48" s="67" t="s">
        <v>4631</v>
      </c>
      <c r="AF48" s="67" t="s">
        <v>4632</v>
      </c>
      <c r="AG48" s="67" t="s">
        <v>4633</v>
      </c>
      <c r="AH48" s="92" t="s">
        <v>4634</v>
      </c>
      <c r="AI48" s="64" t="s">
        <v>4635</v>
      </c>
      <c r="AJ48" s="67" t="s">
        <v>4636</v>
      </c>
      <c r="AK48" s="67" t="s">
        <v>4637</v>
      </c>
      <c r="AL48" s="67" t="s">
        <v>4638</v>
      </c>
      <c r="AM48" s="67" t="s">
        <v>4639</v>
      </c>
      <c r="AN48" s="67" t="s">
        <v>4640</v>
      </c>
      <c r="AO48" s="67" t="s">
        <v>4641</v>
      </c>
      <c r="AP48" s="67" t="s">
        <v>4642</v>
      </c>
      <c r="AQ48" s="92" t="s">
        <v>4643</v>
      </c>
      <c r="AR48" s="64" t="s">
        <v>4644</v>
      </c>
      <c r="AS48" s="67" t="s">
        <v>4645</v>
      </c>
      <c r="AT48" s="61"/>
      <c r="AU48" s="67" t="s">
        <v>4646</v>
      </c>
      <c r="AV48" s="67" t="s">
        <v>4647</v>
      </c>
      <c r="AW48" s="92" t="s">
        <v>4648</v>
      </c>
      <c r="AX48" s="64" t="s">
        <v>4649</v>
      </c>
      <c r="AY48" s="92" t="s">
        <v>4650</v>
      </c>
      <c r="AZ48" s="57" t="n">
        <v>123</v>
      </c>
      <c r="BA48" s="74" t="n">
        <v>35</v>
      </c>
      <c r="BB48" s="122" t="s">
        <v>2128</v>
      </c>
      <c r="BC48" s="76" t="n">
        <v>53</v>
      </c>
      <c r="BD48" s="76" t="n">
        <f aca="false">_xlfn.RANK.EQ(BC48,$BC$14:$BC$53,0)</f>
        <v>1</v>
      </c>
    </row>
    <row r="49" customFormat="false" ht="18" hidden="false" customHeight="true" outlineLevel="0" collapsed="false">
      <c r="A49" s="109"/>
      <c r="B49" s="60" t="n">
        <v>44</v>
      </c>
      <c r="C49" s="63" t="s">
        <v>49</v>
      </c>
      <c r="D49" s="60" t="s">
        <v>4651</v>
      </c>
      <c r="E49" s="62" t="s">
        <v>4652</v>
      </c>
      <c r="F49" s="62" t="s">
        <v>4653</v>
      </c>
      <c r="G49" s="62" t="s">
        <v>4654</v>
      </c>
      <c r="H49" s="62" t="s">
        <v>4655</v>
      </c>
      <c r="I49" s="62" t="s">
        <v>4656</v>
      </c>
      <c r="J49" s="62" t="s">
        <v>4657</v>
      </c>
      <c r="K49" s="62" t="s">
        <v>4658</v>
      </c>
      <c r="L49" s="62" t="s">
        <v>4659</v>
      </c>
      <c r="M49" s="62" t="s">
        <v>4660</v>
      </c>
      <c r="N49" s="63" t="s">
        <v>4661</v>
      </c>
      <c r="O49" s="60" t="s">
        <v>4662</v>
      </c>
      <c r="P49" s="62" t="s">
        <v>4663</v>
      </c>
      <c r="Q49" s="62" t="s">
        <v>4664</v>
      </c>
      <c r="R49" s="62" t="s">
        <v>4665</v>
      </c>
      <c r="S49" s="62" t="s">
        <v>4666</v>
      </c>
      <c r="T49" s="62" t="s">
        <v>4667</v>
      </c>
      <c r="U49" s="62" t="s">
        <v>4668</v>
      </c>
      <c r="V49" s="62" t="s">
        <v>4669</v>
      </c>
      <c r="W49" s="62" t="s">
        <v>4670</v>
      </c>
      <c r="X49" s="62" t="s">
        <v>4671</v>
      </c>
      <c r="Y49" s="62" t="s">
        <v>4672</v>
      </c>
      <c r="Z49" s="63" t="s">
        <v>4673</v>
      </c>
      <c r="AA49" s="60" t="s">
        <v>4674</v>
      </c>
      <c r="AB49" s="62" t="s">
        <v>4675</v>
      </c>
      <c r="AC49" s="62" t="s">
        <v>4676</v>
      </c>
      <c r="AD49" s="62" t="s">
        <v>4677</v>
      </c>
      <c r="AE49" s="62" t="s">
        <v>4678</v>
      </c>
      <c r="AF49" s="62" t="s">
        <v>4679</v>
      </c>
      <c r="AG49" s="62" t="s">
        <v>4680</v>
      </c>
      <c r="AH49" s="63" t="s">
        <v>4681</v>
      </c>
      <c r="AI49" s="60" t="s">
        <v>4682</v>
      </c>
      <c r="AJ49" s="62" t="s">
        <v>4683</v>
      </c>
      <c r="AK49" s="62" t="s">
        <v>4684</v>
      </c>
      <c r="AL49" s="62" t="s">
        <v>4685</v>
      </c>
      <c r="AM49" s="62" t="s">
        <v>4686</v>
      </c>
      <c r="AN49" s="62" t="s">
        <v>4687</v>
      </c>
      <c r="AO49" s="62" t="s">
        <v>4688</v>
      </c>
      <c r="AP49" s="62" t="s">
        <v>4689</v>
      </c>
      <c r="AQ49" s="63" t="s">
        <v>4690</v>
      </c>
      <c r="AR49" s="60" t="s">
        <v>4691</v>
      </c>
      <c r="AS49" s="62" t="s">
        <v>4692</v>
      </c>
      <c r="AT49" s="62" t="s">
        <v>4693</v>
      </c>
      <c r="AU49" s="61"/>
      <c r="AV49" s="62" t="s">
        <v>4694</v>
      </c>
      <c r="AW49" s="63" t="s">
        <v>4695</v>
      </c>
      <c r="AX49" s="60" t="s">
        <v>4696</v>
      </c>
      <c r="AY49" s="63" t="s">
        <v>4697</v>
      </c>
      <c r="AZ49" s="57" t="n">
        <v>53</v>
      </c>
      <c r="BA49" s="74" t="n">
        <v>36</v>
      </c>
      <c r="BB49" s="122" t="s">
        <v>2176</v>
      </c>
      <c r="BC49" s="76" t="n">
        <v>15</v>
      </c>
      <c r="BD49" s="76" t="n">
        <f aca="false">_xlfn.RANK.EQ(BC49,$BC$14:$BC$53,0)</f>
        <v>17</v>
      </c>
    </row>
    <row r="50" customFormat="false" ht="18" hidden="false" customHeight="true" outlineLevel="0" collapsed="false">
      <c r="A50" s="109"/>
      <c r="B50" s="64" t="n">
        <v>45</v>
      </c>
      <c r="C50" s="101" t="s">
        <v>50</v>
      </c>
      <c r="D50" s="66" t="s">
        <v>4698</v>
      </c>
      <c r="E50" s="68" t="s">
        <v>4699</v>
      </c>
      <c r="F50" s="68" t="s">
        <v>4700</v>
      </c>
      <c r="G50" s="68" t="s">
        <v>4701</v>
      </c>
      <c r="H50" s="68" t="s">
        <v>4702</v>
      </c>
      <c r="I50" s="68" t="s">
        <v>4703</v>
      </c>
      <c r="J50" s="68" t="s">
        <v>4704</v>
      </c>
      <c r="K50" s="68" t="s">
        <v>4705</v>
      </c>
      <c r="L50" s="68" t="s">
        <v>4706</v>
      </c>
      <c r="M50" s="68" t="s">
        <v>4707</v>
      </c>
      <c r="N50" s="69" t="s">
        <v>4708</v>
      </c>
      <c r="O50" s="66" t="s">
        <v>4709</v>
      </c>
      <c r="P50" s="68" t="s">
        <v>4710</v>
      </c>
      <c r="Q50" s="68" t="s">
        <v>4711</v>
      </c>
      <c r="R50" s="68" t="s">
        <v>4712</v>
      </c>
      <c r="S50" s="68" t="s">
        <v>4713</v>
      </c>
      <c r="T50" s="68" t="s">
        <v>4714</v>
      </c>
      <c r="U50" s="68" t="s">
        <v>4715</v>
      </c>
      <c r="V50" s="68" t="s">
        <v>4716</v>
      </c>
      <c r="W50" s="68" t="s">
        <v>4717</v>
      </c>
      <c r="X50" s="68" t="s">
        <v>4718</v>
      </c>
      <c r="Y50" s="67" t="s">
        <v>4719</v>
      </c>
      <c r="Z50" s="92" t="s">
        <v>4720</v>
      </c>
      <c r="AA50" s="64" t="s">
        <v>4721</v>
      </c>
      <c r="AB50" s="67" t="s">
        <v>4722</v>
      </c>
      <c r="AC50" s="67" t="s">
        <v>4723</v>
      </c>
      <c r="AD50" s="67" t="s">
        <v>4724</v>
      </c>
      <c r="AE50" s="67" t="s">
        <v>4725</v>
      </c>
      <c r="AF50" s="67" t="s">
        <v>4726</v>
      </c>
      <c r="AG50" s="67" t="s">
        <v>4727</v>
      </c>
      <c r="AH50" s="92" t="s">
        <v>4728</v>
      </c>
      <c r="AI50" s="64" t="s">
        <v>4729</v>
      </c>
      <c r="AJ50" s="67" t="s">
        <v>4730</v>
      </c>
      <c r="AK50" s="67" t="s">
        <v>4731</v>
      </c>
      <c r="AL50" s="67" t="s">
        <v>4732</v>
      </c>
      <c r="AM50" s="67" t="s">
        <v>4733</v>
      </c>
      <c r="AN50" s="67" t="s">
        <v>4734</v>
      </c>
      <c r="AO50" s="67" t="s">
        <v>4735</v>
      </c>
      <c r="AP50" s="67" t="s">
        <v>4736</v>
      </c>
      <c r="AQ50" s="92" t="s">
        <v>4737</v>
      </c>
      <c r="AR50" s="64" t="s">
        <v>4738</v>
      </c>
      <c r="AS50" s="67" t="s">
        <v>4739</v>
      </c>
      <c r="AT50" s="67" t="s">
        <v>4740</v>
      </c>
      <c r="AU50" s="67" t="s">
        <v>4741</v>
      </c>
      <c r="AV50" s="61"/>
      <c r="AW50" s="92" t="s">
        <v>4742</v>
      </c>
      <c r="AX50" s="64" t="s">
        <v>4743</v>
      </c>
      <c r="AY50" s="92" t="s">
        <v>4744</v>
      </c>
      <c r="AZ50" s="57" t="n">
        <v>27</v>
      </c>
      <c r="BA50" s="74" t="n">
        <v>37</v>
      </c>
      <c r="BB50" s="122" t="s">
        <v>2224</v>
      </c>
      <c r="BC50" s="76" t="n">
        <v>9</v>
      </c>
      <c r="BD50" s="76" t="n">
        <f aca="false">_xlfn.RANK.EQ(BC50,$BC$14:$BC$53,0)</f>
        <v>25</v>
      </c>
    </row>
    <row r="51" customFormat="false" ht="18" hidden="false" customHeight="true" outlineLevel="0" collapsed="false">
      <c r="A51" s="109"/>
      <c r="B51" s="105" t="n">
        <v>46</v>
      </c>
      <c r="C51" s="108" t="s">
        <v>51</v>
      </c>
      <c r="D51" s="105" t="s">
        <v>4745</v>
      </c>
      <c r="E51" s="107" t="s">
        <v>4746</v>
      </c>
      <c r="F51" s="107" t="s">
        <v>4747</v>
      </c>
      <c r="G51" s="107" t="s">
        <v>4748</v>
      </c>
      <c r="H51" s="107" t="s">
        <v>4749</v>
      </c>
      <c r="I51" s="107" t="s">
        <v>4750</v>
      </c>
      <c r="J51" s="107" t="s">
        <v>4751</v>
      </c>
      <c r="K51" s="107" t="s">
        <v>4752</v>
      </c>
      <c r="L51" s="107" t="s">
        <v>4753</v>
      </c>
      <c r="M51" s="107" t="s">
        <v>4754</v>
      </c>
      <c r="N51" s="108" t="s">
        <v>4755</v>
      </c>
      <c r="O51" s="105" t="s">
        <v>4756</v>
      </c>
      <c r="P51" s="107" t="s">
        <v>4757</v>
      </c>
      <c r="Q51" s="107" t="s">
        <v>4758</v>
      </c>
      <c r="R51" s="107" t="s">
        <v>4759</v>
      </c>
      <c r="S51" s="107" t="s">
        <v>4760</v>
      </c>
      <c r="T51" s="107" t="s">
        <v>4761</v>
      </c>
      <c r="U51" s="107" t="s">
        <v>4762</v>
      </c>
      <c r="V51" s="107" t="s">
        <v>4763</v>
      </c>
      <c r="W51" s="107" t="s">
        <v>4764</v>
      </c>
      <c r="X51" s="107" t="s">
        <v>4765</v>
      </c>
      <c r="Y51" s="107" t="s">
        <v>4766</v>
      </c>
      <c r="Z51" s="108" t="s">
        <v>4767</v>
      </c>
      <c r="AA51" s="105" t="s">
        <v>4768</v>
      </c>
      <c r="AB51" s="107" t="s">
        <v>4769</v>
      </c>
      <c r="AC51" s="107" t="s">
        <v>4770</v>
      </c>
      <c r="AD51" s="107" t="s">
        <v>4771</v>
      </c>
      <c r="AE51" s="107" t="s">
        <v>4772</v>
      </c>
      <c r="AF51" s="107" t="s">
        <v>4773</v>
      </c>
      <c r="AG51" s="107" t="s">
        <v>4774</v>
      </c>
      <c r="AH51" s="108" t="s">
        <v>4775</v>
      </c>
      <c r="AI51" s="105" t="s">
        <v>4776</v>
      </c>
      <c r="AJ51" s="107" t="s">
        <v>4777</v>
      </c>
      <c r="AK51" s="107" t="s">
        <v>4778</v>
      </c>
      <c r="AL51" s="107" t="s">
        <v>4779</v>
      </c>
      <c r="AM51" s="107" t="s">
        <v>4780</v>
      </c>
      <c r="AN51" s="107" t="s">
        <v>4781</v>
      </c>
      <c r="AO51" s="107" t="s">
        <v>4782</v>
      </c>
      <c r="AP51" s="107" t="s">
        <v>4783</v>
      </c>
      <c r="AQ51" s="108" t="s">
        <v>4784</v>
      </c>
      <c r="AR51" s="105" t="s">
        <v>4785</v>
      </c>
      <c r="AS51" s="107" t="s">
        <v>4786</v>
      </c>
      <c r="AT51" s="107" t="s">
        <v>4787</v>
      </c>
      <c r="AU51" s="107" t="s">
        <v>4788</v>
      </c>
      <c r="AV51" s="107" t="s">
        <v>4789</v>
      </c>
      <c r="AW51" s="98"/>
      <c r="AX51" s="105" t="s">
        <v>4790</v>
      </c>
      <c r="AY51" s="108" t="s">
        <v>4791</v>
      </c>
      <c r="AZ51" s="57" t="n">
        <v>22</v>
      </c>
      <c r="BA51" s="74" t="n">
        <v>38</v>
      </c>
      <c r="BB51" s="122" t="s">
        <v>2272</v>
      </c>
      <c r="BC51" s="76" t="n">
        <v>7</v>
      </c>
      <c r="BD51" s="76" t="n">
        <f aca="false">_xlfn.RANK.EQ(BC51,$BC$14:$BC$53,0)</f>
        <v>27</v>
      </c>
    </row>
    <row r="52" customFormat="false" ht="18" hidden="false" customHeight="true" outlineLevel="0" collapsed="false">
      <c r="A52" s="115" t="s">
        <v>2273</v>
      </c>
      <c r="B52" s="110" t="n">
        <v>47</v>
      </c>
      <c r="C52" s="111" t="s">
        <v>52</v>
      </c>
      <c r="D52" s="56" t="s">
        <v>4792</v>
      </c>
      <c r="E52" s="54" t="s">
        <v>4793</v>
      </c>
      <c r="F52" s="54" t="s">
        <v>4794</v>
      </c>
      <c r="G52" s="54" t="s">
        <v>4795</v>
      </c>
      <c r="H52" s="54" t="s">
        <v>4796</v>
      </c>
      <c r="I52" s="54" t="s">
        <v>4797</v>
      </c>
      <c r="J52" s="54" t="s">
        <v>4798</v>
      </c>
      <c r="K52" s="54" t="s">
        <v>4799</v>
      </c>
      <c r="L52" s="54" t="s">
        <v>4800</v>
      </c>
      <c r="M52" s="54" t="s">
        <v>4801</v>
      </c>
      <c r="N52" s="55" t="s">
        <v>4802</v>
      </c>
      <c r="O52" s="56" t="s">
        <v>4803</v>
      </c>
      <c r="P52" s="54" t="s">
        <v>4804</v>
      </c>
      <c r="Q52" s="54" t="s">
        <v>4805</v>
      </c>
      <c r="R52" s="54" t="s">
        <v>4806</v>
      </c>
      <c r="S52" s="54" t="s">
        <v>4807</v>
      </c>
      <c r="T52" s="54" t="s">
        <v>4808</v>
      </c>
      <c r="U52" s="54" t="s">
        <v>4809</v>
      </c>
      <c r="V52" s="54" t="s">
        <v>4810</v>
      </c>
      <c r="W52" s="54" t="s">
        <v>4811</v>
      </c>
      <c r="X52" s="54" t="s">
        <v>4812</v>
      </c>
      <c r="Y52" s="112" t="s">
        <v>4813</v>
      </c>
      <c r="Z52" s="113" t="s">
        <v>4814</v>
      </c>
      <c r="AA52" s="110" t="s">
        <v>4815</v>
      </c>
      <c r="AB52" s="112" t="s">
        <v>4816</v>
      </c>
      <c r="AC52" s="112" t="s">
        <v>4817</v>
      </c>
      <c r="AD52" s="112" t="s">
        <v>4818</v>
      </c>
      <c r="AE52" s="112" t="s">
        <v>4819</v>
      </c>
      <c r="AF52" s="112" t="s">
        <v>4820</v>
      </c>
      <c r="AG52" s="112" t="s">
        <v>4821</v>
      </c>
      <c r="AH52" s="113" t="s">
        <v>4822</v>
      </c>
      <c r="AI52" s="110" t="s">
        <v>4823</v>
      </c>
      <c r="AJ52" s="112" t="s">
        <v>4824</v>
      </c>
      <c r="AK52" s="112" t="s">
        <v>4825</v>
      </c>
      <c r="AL52" s="112" t="s">
        <v>4826</v>
      </c>
      <c r="AM52" s="112" t="s">
        <v>4827</v>
      </c>
      <c r="AN52" s="112" t="s">
        <v>4828</v>
      </c>
      <c r="AO52" s="112" t="s">
        <v>4829</v>
      </c>
      <c r="AP52" s="112" t="s">
        <v>4830</v>
      </c>
      <c r="AQ52" s="113" t="s">
        <v>4831</v>
      </c>
      <c r="AR52" s="110" t="s">
        <v>4832</v>
      </c>
      <c r="AS52" s="112" t="s">
        <v>4833</v>
      </c>
      <c r="AT52" s="112" t="s">
        <v>4834</v>
      </c>
      <c r="AU52" s="112" t="s">
        <v>4835</v>
      </c>
      <c r="AV52" s="112" t="s">
        <v>4836</v>
      </c>
      <c r="AW52" s="113" t="s">
        <v>4837</v>
      </c>
      <c r="AX52" s="53"/>
      <c r="AY52" s="113" t="s">
        <v>4838</v>
      </c>
      <c r="AZ52" s="57" t="n">
        <v>16</v>
      </c>
      <c r="BA52" s="74" t="n">
        <v>39</v>
      </c>
      <c r="BB52" s="122" t="s">
        <v>2321</v>
      </c>
      <c r="BC52" s="76" t="n">
        <v>6</v>
      </c>
      <c r="BD52" s="76" t="n">
        <f aca="false">_xlfn.RANK.EQ(BC52,$BC$14:$BC$53,0)</f>
        <v>28</v>
      </c>
    </row>
    <row r="53" customFormat="false" ht="18" hidden="false" customHeight="true" outlineLevel="0" collapsed="false">
      <c r="A53" s="115"/>
      <c r="B53" s="105" t="n">
        <v>48</v>
      </c>
      <c r="C53" s="108" t="s">
        <v>53</v>
      </c>
      <c r="D53" s="105" t="s">
        <v>4839</v>
      </c>
      <c r="E53" s="107" t="s">
        <v>4840</v>
      </c>
      <c r="F53" s="107" t="s">
        <v>4841</v>
      </c>
      <c r="G53" s="107" t="s">
        <v>4842</v>
      </c>
      <c r="H53" s="107" t="s">
        <v>4843</v>
      </c>
      <c r="I53" s="107" t="s">
        <v>4844</v>
      </c>
      <c r="J53" s="107" t="s">
        <v>4845</v>
      </c>
      <c r="K53" s="107" t="s">
        <v>4846</v>
      </c>
      <c r="L53" s="107" t="s">
        <v>4847</v>
      </c>
      <c r="M53" s="107" t="s">
        <v>4848</v>
      </c>
      <c r="N53" s="108" t="s">
        <v>4849</v>
      </c>
      <c r="O53" s="105" t="s">
        <v>4850</v>
      </c>
      <c r="P53" s="107" t="s">
        <v>4851</v>
      </c>
      <c r="Q53" s="107" t="s">
        <v>4852</v>
      </c>
      <c r="R53" s="107" t="s">
        <v>4853</v>
      </c>
      <c r="S53" s="107" t="s">
        <v>4854</v>
      </c>
      <c r="T53" s="107" t="s">
        <v>4855</v>
      </c>
      <c r="U53" s="107" t="s">
        <v>4856</v>
      </c>
      <c r="V53" s="107" t="s">
        <v>4857</v>
      </c>
      <c r="W53" s="107" t="s">
        <v>4858</v>
      </c>
      <c r="X53" s="107" t="s">
        <v>4859</v>
      </c>
      <c r="Y53" s="107" t="s">
        <v>4860</v>
      </c>
      <c r="Z53" s="108" t="s">
        <v>4861</v>
      </c>
      <c r="AA53" s="105" t="s">
        <v>4862</v>
      </c>
      <c r="AB53" s="107" t="s">
        <v>4863</v>
      </c>
      <c r="AC53" s="107" t="s">
        <v>4864</v>
      </c>
      <c r="AD53" s="107" t="s">
        <v>4865</v>
      </c>
      <c r="AE53" s="107" t="s">
        <v>4866</v>
      </c>
      <c r="AF53" s="107" t="s">
        <v>4867</v>
      </c>
      <c r="AG53" s="107" t="s">
        <v>4868</v>
      </c>
      <c r="AH53" s="108" t="s">
        <v>4869</v>
      </c>
      <c r="AI53" s="105" t="s">
        <v>4870</v>
      </c>
      <c r="AJ53" s="107" t="s">
        <v>4871</v>
      </c>
      <c r="AK53" s="107" t="s">
        <v>4872</v>
      </c>
      <c r="AL53" s="107" t="s">
        <v>4873</v>
      </c>
      <c r="AM53" s="107" t="s">
        <v>4874</v>
      </c>
      <c r="AN53" s="107" t="s">
        <v>4875</v>
      </c>
      <c r="AO53" s="107" t="s">
        <v>4876</v>
      </c>
      <c r="AP53" s="107" t="s">
        <v>4877</v>
      </c>
      <c r="AQ53" s="108" t="s">
        <v>4878</v>
      </c>
      <c r="AR53" s="105" t="s">
        <v>4879</v>
      </c>
      <c r="AS53" s="107" t="s">
        <v>4880</v>
      </c>
      <c r="AT53" s="107" t="s">
        <v>4881</v>
      </c>
      <c r="AU53" s="107" t="s">
        <v>4882</v>
      </c>
      <c r="AV53" s="107" t="s">
        <v>4883</v>
      </c>
      <c r="AW53" s="108" t="s">
        <v>4884</v>
      </c>
      <c r="AX53" s="105" t="s">
        <v>4885</v>
      </c>
      <c r="AY53" s="98"/>
      <c r="AZ53" s="57" t="n">
        <v>25</v>
      </c>
      <c r="BA53" s="74" t="n">
        <v>40</v>
      </c>
      <c r="BB53" s="122" t="s">
        <v>2369</v>
      </c>
      <c r="BC53" s="76" t="n">
        <v>14</v>
      </c>
      <c r="BD53" s="76" t="n">
        <f aca="false">_xlfn.RANK.EQ(BC53,$BC$14:$BC$53,0)</f>
        <v>19</v>
      </c>
    </row>
    <row r="54" customFormat="false" ht="12.75" hidden="false" customHeight="false" outlineLevel="0" collapsed="false">
      <c r="B54" s="48" t="n">
        <v>25</v>
      </c>
      <c r="D54" s="57" t="n">
        <v>37</v>
      </c>
      <c r="E54" s="57" t="n">
        <v>36</v>
      </c>
      <c r="F54" s="57" t="n">
        <v>52</v>
      </c>
      <c r="G54" s="57" t="n">
        <v>21</v>
      </c>
      <c r="H54" s="57" t="n">
        <v>41</v>
      </c>
      <c r="I54" s="57" t="n">
        <v>21</v>
      </c>
      <c r="J54" s="57" t="n">
        <v>25</v>
      </c>
      <c r="K54" s="57" t="n">
        <v>27</v>
      </c>
      <c r="L54" s="57" t="n">
        <v>13</v>
      </c>
      <c r="M54" s="57" t="n">
        <v>23</v>
      </c>
      <c r="N54" s="57" t="n">
        <v>7</v>
      </c>
      <c r="O54" s="57" t="n">
        <v>54</v>
      </c>
      <c r="P54" s="57" t="n">
        <v>45</v>
      </c>
      <c r="Q54" s="57" t="n">
        <v>44</v>
      </c>
      <c r="R54" s="57" t="n">
        <v>89</v>
      </c>
      <c r="S54" s="57" t="n">
        <v>77</v>
      </c>
      <c r="T54" s="57" t="n">
        <v>88</v>
      </c>
      <c r="U54" s="57" t="n">
        <v>70</v>
      </c>
      <c r="V54" s="57" t="n">
        <v>122</v>
      </c>
      <c r="W54" s="57" t="n">
        <v>58</v>
      </c>
      <c r="X54" s="57" t="n">
        <v>55</v>
      </c>
      <c r="Y54" s="57" t="n">
        <v>15</v>
      </c>
      <c r="Z54" s="57" t="n">
        <v>9</v>
      </c>
      <c r="AA54" s="57" t="n">
        <v>89</v>
      </c>
      <c r="AB54" s="57" t="n">
        <v>131</v>
      </c>
      <c r="AC54" s="57" t="n">
        <v>23</v>
      </c>
      <c r="AD54" s="57" t="n">
        <v>63</v>
      </c>
      <c r="AE54" s="57" t="n">
        <v>0</v>
      </c>
      <c r="AF54" s="57" t="n">
        <v>14</v>
      </c>
      <c r="AG54" s="57" t="n">
        <v>18</v>
      </c>
      <c r="AH54" s="57" t="n">
        <v>78</v>
      </c>
      <c r="AI54" s="57" t="n">
        <v>34</v>
      </c>
      <c r="AJ54" s="57" t="n">
        <v>30</v>
      </c>
      <c r="AK54" s="57" t="n">
        <v>27</v>
      </c>
      <c r="AL54" s="57" t="n">
        <v>69</v>
      </c>
      <c r="AM54" s="57" t="n">
        <v>15</v>
      </c>
      <c r="AN54" s="57" t="n">
        <v>14</v>
      </c>
      <c r="AO54" s="57" t="n">
        <v>77</v>
      </c>
      <c r="AP54" s="57" t="n">
        <v>7</v>
      </c>
      <c r="AQ54" s="57" t="n">
        <v>68</v>
      </c>
      <c r="AR54" s="57" t="n">
        <v>22</v>
      </c>
      <c r="AS54" s="57" t="n">
        <v>74</v>
      </c>
      <c r="AT54" s="57" t="n">
        <v>52</v>
      </c>
      <c r="AU54" s="57" t="n">
        <v>47</v>
      </c>
      <c r="AV54" s="57" t="n">
        <v>34</v>
      </c>
      <c r="AW54" s="57" t="n">
        <v>21</v>
      </c>
      <c r="AX54" s="57" t="n">
        <v>0</v>
      </c>
      <c r="AY54" s="57" t="n">
        <v>24</v>
      </c>
    </row>
    <row r="55" customFormat="false" ht="3" hidden="false" customHeight="true" outlineLevel="0" collapsed="false"/>
    <row r="56" customFormat="false" ht="11.25" hidden="false" customHeight="true" outlineLevel="0" collapsed="false">
      <c r="C56" s="1" t="s">
        <v>2370</v>
      </c>
      <c r="F56" s="1" t="s">
        <v>2371</v>
      </c>
      <c r="J56" s="1" t="s">
        <v>2372</v>
      </c>
      <c r="Z56" s="1" t="s">
        <v>2373</v>
      </c>
      <c r="AE56" s="1" t="s">
        <v>2374</v>
      </c>
      <c r="BA56" s="116" t="s">
        <v>2375</v>
      </c>
      <c r="BB56" s="116"/>
    </row>
  </sheetData>
  <mergeCells count="14">
    <mergeCell ref="D2:N3"/>
    <mergeCell ref="O2:Z3"/>
    <mergeCell ref="AA2:AH3"/>
    <mergeCell ref="AI2:AQ3"/>
    <mergeCell ref="AR2:AW3"/>
    <mergeCell ref="AX2:AY3"/>
    <mergeCell ref="A6:A16"/>
    <mergeCell ref="BA13:BB13"/>
    <mergeCell ref="A17:A28"/>
    <mergeCell ref="A29:A36"/>
    <mergeCell ref="A37:A45"/>
    <mergeCell ref="A46:A51"/>
    <mergeCell ref="A52:A53"/>
    <mergeCell ref="BA56:BB56"/>
  </mergeCells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52</xdr:col>
                    <xdr:colOff>122040</xdr:colOff>
                    <xdr:row>8</xdr:row>
                    <xdr:rowOff>114480</xdr:rowOff>
                  </from>
                  <to>
                    <xdr:col>53</xdr:col>
                    <xdr:colOff>838440</xdr:colOff>
                    <xdr:row>10</xdr:row>
                    <xdr:rowOff>122040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CommandButton2">
              <controlPr defaultSize="0" print="true" autoFill="0" autoPict="0">
                <anchor moveWithCells="true" sizeWithCells="false">
                  <from>
                    <xdr:col>53</xdr:col>
                    <xdr:colOff>906840</xdr:colOff>
                    <xdr:row>8</xdr:row>
                    <xdr:rowOff>114480</xdr:rowOff>
                  </from>
                  <to>
                    <xdr:col>54</xdr:col>
                    <xdr:colOff>-753480</xdr:colOff>
                    <xdr:row>10</xdr:row>
                    <xdr:rowOff>122040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CommandButton3">
              <controlPr defaultSize="0" print="true" autoFill="0" autoPict="0">
                <anchor moveWithCells="true" sizeWithCells="false">
                  <from>
                    <xdr:col>52</xdr:col>
                    <xdr:colOff>129600</xdr:colOff>
                    <xdr:row>1</xdr:row>
                    <xdr:rowOff>76320</xdr:rowOff>
                  </from>
                  <to>
                    <xdr:col>53</xdr:col>
                    <xdr:colOff>838440</xdr:colOff>
                    <xdr:row>3</xdr:row>
                    <xdr:rowOff>175320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CommandButton4">
              <controlPr defaultSize="0" print="true" autoFill="0" autoPict="0">
                <anchor moveWithCells="true" sizeWithCells="false">
                  <from>
                    <xdr:col>53</xdr:col>
                    <xdr:colOff>952560</xdr:colOff>
                    <xdr:row>1</xdr:row>
                    <xdr:rowOff>76320</xdr:rowOff>
                  </from>
                  <to>
                    <xdr:col>54</xdr:col>
                    <xdr:colOff>-776160</xdr:colOff>
                    <xdr:row>3</xdr:row>
                    <xdr:rowOff>175320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J55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V48" activeCellId="0" sqref="AV48"/>
    </sheetView>
  </sheetViews>
  <sheetFormatPr defaultColWidth="11.42578125" defaultRowHeight="12.75" zeroHeight="false" outlineLevelRow="0" outlineLevelCol="0"/>
  <cols>
    <col collapsed="false" customWidth="true" hidden="false" outlineLevel="0" max="48" min="1" style="1" width="4.71"/>
    <col collapsed="false" customWidth="true" hidden="false" outlineLevel="0" max="49" min="49" style="1" width="3.57"/>
    <col collapsed="false" customWidth="true" hidden="false" outlineLevel="0" max="50" min="50" style="1" width="15.29"/>
    <col collapsed="false" customWidth="true" hidden="false" outlineLevel="0" max="52" min="51" style="1" width="2.86"/>
    <col collapsed="false" customWidth="true" hidden="false" outlineLevel="0" max="53" min="53" style="1" width="4.71"/>
    <col collapsed="false" customWidth="true" hidden="false" outlineLevel="0" max="54" min="54" style="1" width="3.57"/>
    <col collapsed="false" customWidth="true" hidden="false" outlineLevel="0" max="55" min="55" style="1" width="37.29"/>
    <col collapsed="false" customWidth="true" hidden="false" outlineLevel="0" max="61" min="56" style="1" width="4.71"/>
    <col collapsed="false" customWidth="true" hidden="false" outlineLevel="0" max="62" min="62" style="1" width="3.29"/>
    <col collapsed="false" customWidth="true" hidden="false" outlineLevel="0" max="63" min="63" style="1" width="30.85"/>
    <col collapsed="false" customWidth="true" hidden="false" outlineLevel="0" max="64" min="64" style="1" width="0.57"/>
    <col collapsed="false" customWidth="false" hidden="false" outlineLevel="0" max="16384" min="65" style="1" width="11.43"/>
  </cols>
  <sheetData>
    <row r="1" customFormat="false" ht="18" hidden="false" customHeight="true" outlineLevel="0" collapsed="false">
      <c r="A1" s="53"/>
      <c r="B1" s="54" t="s">
        <v>54</v>
      </c>
      <c r="C1" s="54" t="s">
        <v>55</v>
      </c>
      <c r="D1" s="54" t="s">
        <v>56</v>
      </c>
      <c r="E1" s="54" t="s">
        <v>57</v>
      </c>
      <c r="F1" s="54" t="s">
        <v>58</v>
      </c>
      <c r="G1" s="54" t="s">
        <v>59</v>
      </c>
      <c r="H1" s="54" t="s">
        <v>60</v>
      </c>
      <c r="I1" s="54" t="s">
        <v>61</v>
      </c>
      <c r="J1" s="54" t="s">
        <v>62</v>
      </c>
      <c r="K1" s="55" t="s">
        <v>63</v>
      </c>
      <c r="L1" s="56" t="s">
        <v>64</v>
      </c>
      <c r="M1" s="54" t="s">
        <v>65</v>
      </c>
      <c r="N1" s="54" t="s">
        <v>66</v>
      </c>
      <c r="O1" s="54" t="s">
        <v>67</v>
      </c>
      <c r="P1" s="54" t="s">
        <v>68</v>
      </c>
      <c r="Q1" s="54" t="s">
        <v>69</v>
      </c>
      <c r="R1" s="54" t="s">
        <v>70</v>
      </c>
      <c r="S1" s="54" t="s">
        <v>71</v>
      </c>
      <c r="T1" s="54" t="s">
        <v>72</v>
      </c>
      <c r="U1" s="54" t="s">
        <v>73</v>
      </c>
      <c r="V1" s="54" t="s">
        <v>74</v>
      </c>
      <c r="W1" s="55" t="s">
        <v>75</v>
      </c>
      <c r="X1" s="56" t="s">
        <v>76</v>
      </c>
      <c r="Y1" s="54" t="s">
        <v>77</v>
      </c>
      <c r="Z1" s="54" t="s">
        <v>78</v>
      </c>
      <c r="AA1" s="54" t="s">
        <v>79</v>
      </c>
      <c r="AB1" s="54" t="s">
        <v>80</v>
      </c>
      <c r="AC1" s="54" t="s">
        <v>81</v>
      </c>
      <c r="AD1" s="54" t="s">
        <v>82</v>
      </c>
      <c r="AE1" s="55" t="s">
        <v>83</v>
      </c>
      <c r="AF1" s="56" t="s">
        <v>84</v>
      </c>
      <c r="AG1" s="54" t="s">
        <v>85</v>
      </c>
      <c r="AH1" s="54" t="s">
        <v>86</v>
      </c>
      <c r="AI1" s="54" t="s">
        <v>87</v>
      </c>
      <c r="AJ1" s="54" t="s">
        <v>88</v>
      </c>
      <c r="AK1" s="54" t="s">
        <v>89</v>
      </c>
      <c r="AL1" s="54" t="s">
        <v>90</v>
      </c>
      <c r="AM1" s="54" t="s">
        <v>91</v>
      </c>
      <c r="AN1" s="55" t="s">
        <v>92</v>
      </c>
      <c r="AO1" s="56" t="s">
        <v>93</v>
      </c>
      <c r="AP1" s="54" t="s">
        <v>94</v>
      </c>
      <c r="AQ1" s="54" t="s">
        <v>95</v>
      </c>
      <c r="AR1" s="54" t="s">
        <v>96</v>
      </c>
      <c r="AS1" s="54" t="s">
        <v>97</v>
      </c>
      <c r="AT1" s="55" t="s">
        <v>98</v>
      </c>
      <c r="AU1" s="56" t="s">
        <v>99</v>
      </c>
      <c r="AV1" s="55" t="s">
        <v>100</v>
      </c>
      <c r="AW1" s="110" t="n">
        <v>1</v>
      </c>
      <c r="AX1" s="52" t="s">
        <v>6</v>
      </c>
      <c r="AY1" s="50" t="s">
        <v>0</v>
      </c>
      <c r="AZ1" s="50"/>
      <c r="BA1" s="57" t="n">
        <v>19</v>
      </c>
      <c r="BB1" s="9"/>
      <c r="BC1" s="9"/>
    </row>
    <row r="2" customFormat="false" ht="18" hidden="false" customHeight="true" outlineLevel="0" collapsed="false">
      <c r="A2" s="60" t="s">
        <v>101</v>
      </c>
      <c r="B2" s="61"/>
      <c r="C2" s="62" t="s">
        <v>102</v>
      </c>
      <c r="D2" s="62" t="s">
        <v>103</v>
      </c>
      <c r="E2" s="62" t="s">
        <v>104</v>
      </c>
      <c r="F2" s="62" t="s">
        <v>105</v>
      </c>
      <c r="G2" s="62" t="s">
        <v>106</v>
      </c>
      <c r="H2" s="62" t="s">
        <v>107</v>
      </c>
      <c r="I2" s="62" t="s">
        <v>108</v>
      </c>
      <c r="J2" s="62" t="s">
        <v>109</v>
      </c>
      <c r="K2" s="63" t="s">
        <v>110</v>
      </c>
      <c r="L2" s="60" t="s">
        <v>111</v>
      </c>
      <c r="M2" s="62" t="s">
        <v>112</v>
      </c>
      <c r="N2" s="62" t="s">
        <v>113</v>
      </c>
      <c r="O2" s="62" t="s">
        <v>114</v>
      </c>
      <c r="P2" s="62" t="s">
        <v>115</v>
      </c>
      <c r="Q2" s="62" t="s">
        <v>116</v>
      </c>
      <c r="R2" s="62" t="s">
        <v>117</v>
      </c>
      <c r="S2" s="62" t="s">
        <v>118</v>
      </c>
      <c r="T2" s="62" t="s">
        <v>119</v>
      </c>
      <c r="U2" s="62" t="s">
        <v>120</v>
      </c>
      <c r="V2" s="62" t="s">
        <v>121</v>
      </c>
      <c r="W2" s="63" t="s">
        <v>122</v>
      </c>
      <c r="X2" s="60" t="s">
        <v>123</v>
      </c>
      <c r="Y2" s="62" t="s">
        <v>124</v>
      </c>
      <c r="Z2" s="62" t="s">
        <v>125</v>
      </c>
      <c r="AA2" s="62" t="s">
        <v>126</v>
      </c>
      <c r="AB2" s="62" t="s">
        <v>127</v>
      </c>
      <c r="AC2" s="62" t="s">
        <v>128</v>
      </c>
      <c r="AD2" s="62" t="s">
        <v>129</v>
      </c>
      <c r="AE2" s="63" t="s">
        <v>130</v>
      </c>
      <c r="AF2" s="60" t="s">
        <v>131</v>
      </c>
      <c r="AG2" s="62" t="s">
        <v>132</v>
      </c>
      <c r="AH2" s="62" t="s">
        <v>133</v>
      </c>
      <c r="AI2" s="62" t="s">
        <v>134</v>
      </c>
      <c r="AJ2" s="62" t="s">
        <v>135</v>
      </c>
      <c r="AK2" s="62" t="s">
        <v>136</v>
      </c>
      <c r="AL2" s="62" t="s">
        <v>137</v>
      </c>
      <c r="AM2" s="62" t="s">
        <v>138</v>
      </c>
      <c r="AN2" s="63" t="s">
        <v>139</v>
      </c>
      <c r="AO2" s="60" t="s">
        <v>140</v>
      </c>
      <c r="AP2" s="62" t="s">
        <v>141</v>
      </c>
      <c r="AQ2" s="62" t="s">
        <v>142</v>
      </c>
      <c r="AR2" s="62" t="s">
        <v>143</v>
      </c>
      <c r="AS2" s="62" t="s">
        <v>144</v>
      </c>
      <c r="AT2" s="63" t="s">
        <v>145</v>
      </c>
      <c r="AU2" s="60" t="s">
        <v>146</v>
      </c>
      <c r="AV2" s="63" t="s">
        <v>147</v>
      </c>
      <c r="AW2" s="60" t="n">
        <v>2</v>
      </c>
      <c r="AX2" s="59" t="s">
        <v>7</v>
      </c>
      <c r="AY2" s="50"/>
      <c r="AZ2" s="50"/>
      <c r="BA2" s="57" t="n">
        <v>40</v>
      </c>
      <c r="BB2" s="9"/>
      <c r="BC2" s="9"/>
    </row>
    <row r="3" customFormat="false" ht="18" hidden="false" customHeight="true" outlineLevel="0" collapsed="false">
      <c r="A3" s="66" t="s">
        <v>149</v>
      </c>
      <c r="B3" s="67" t="s">
        <v>150</v>
      </c>
      <c r="C3" s="61"/>
      <c r="D3" s="67" t="s">
        <v>151</v>
      </c>
      <c r="E3" s="68" t="s">
        <v>152</v>
      </c>
      <c r="F3" s="67" t="s">
        <v>153</v>
      </c>
      <c r="G3" s="68" t="s">
        <v>154</v>
      </c>
      <c r="H3" s="67" t="s">
        <v>155</v>
      </c>
      <c r="I3" s="68" t="s">
        <v>156</v>
      </c>
      <c r="J3" s="67" t="s">
        <v>157</v>
      </c>
      <c r="K3" s="69" t="s">
        <v>158</v>
      </c>
      <c r="L3" s="66" t="s">
        <v>159</v>
      </c>
      <c r="M3" s="68" t="s">
        <v>160</v>
      </c>
      <c r="N3" s="68" t="s">
        <v>161</v>
      </c>
      <c r="O3" s="68" t="s">
        <v>162</v>
      </c>
      <c r="P3" s="68" t="s">
        <v>163</v>
      </c>
      <c r="Q3" s="68" t="s">
        <v>164</v>
      </c>
      <c r="R3" s="68" t="s">
        <v>165</v>
      </c>
      <c r="S3" s="68" t="s">
        <v>166</v>
      </c>
      <c r="T3" s="68" t="s">
        <v>167</v>
      </c>
      <c r="U3" s="68" t="s">
        <v>168</v>
      </c>
      <c r="V3" s="68" t="s">
        <v>169</v>
      </c>
      <c r="W3" s="69" t="s">
        <v>170</v>
      </c>
      <c r="X3" s="66" t="s">
        <v>171</v>
      </c>
      <c r="Y3" s="68" t="s">
        <v>172</v>
      </c>
      <c r="Z3" s="68" t="s">
        <v>173</v>
      </c>
      <c r="AA3" s="68" t="s">
        <v>174</v>
      </c>
      <c r="AB3" s="68" t="s">
        <v>175</v>
      </c>
      <c r="AC3" s="68" t="s">
        <v>176</v>
      </c>
      <c r="AD3" s="68" t="s">
        <v>177</v>
      </c>
      <c r="AE3" s="69" t="s">
        <v>178</v>
      </c>
      <c r="AF3" s="66" t="s">
        <v>179</v>
      </c>
      <c r="AG3" s="68" t="s">
        <v>180</v>
      </c>
      <c r="AH3" s="68" t="s">
        <v>181</v>
      </c>
      <c r="AI3" s="68" t="s">
        <v>182</v>
      </c>
      <c r="AJ3" s="68" t="s">
        <v>183</v>
      </c>
      <c r="AK3" s="68" t="s">
        <v>184</v>
      </c>
      <c r="AL3" s="68" t="s">
        <v>185</v>
      </c>
      <c r="AM3" s="68" t="s">
        <v>186</v>
      </c>
      <c r="AN3" s="69" t="s">
        <v>187</v>
      </c>
      <c r="AO3" s="66" t="s">
        <v>188</v>
      </c>
      <c r="AP3" s="68" t="s">
        <v>189</v>
      </c>
      <c r="AQ3" s="68" t="s">
        <v>190</v>
      </c>
      <c r="AR3" s="68" t="s">
        <v>191</v>
      </c>
      <c r="AS3" s="68" t="s">
        <v>192</v>
      </c>
      <c r="AT3" s="69" t="s">
        <v>193</v>
      </c>
      <c r="AU3" s="66" t="s">
        <v>194</v>
      </c>
      <c r="AV3" s="69" t="s">
        <v>195</v>
      </c>
      <c r="AW3" s="64" t="n">
        <v>3</v>
      </c>
      <c r="AX3" s="65" t="s">
        <v>148</v>
      </c>
      <c r="AY3" s="50"/>
      <c r="AZ3" s="50"/>
      <c r="BA3" s="57" t="n">
        <v>16</v>
      </c>
      <c r="BB3" s="9"/>
      <c r="BC3" s="9"/>
    </row>
    <row r="4" customFormat="false" ht="18" hidden="false" customHeight="true" outlineLevel="0" collapsed="false">
      <c r="A4" s="60" t="s">
        <v>197</v>
      </c>
      <c r="B4" s="62" t="s">
        <v>198</v>
      </c>
      <c r="C4" s="62" t="s">
        <v>199</v>
      </c>
      <c r="D4" s="61"/>
      <c r="E4" s="62" t="s">
        <v>200</v>
      </c>
      <c r="F4" s="62" t="s">
        <v>201</v>
      </c>
      <c r="G4" s="62" t="s">
        <v>202</v>
      </c>
      <c r="H4" s="62" t="s">
        <v>203</v>
      </c>
      <c r="I4" s="62" t="s">
        <v>204</v>
      </c>
      <c r="J4" s="62" t="s">
        <v>205</v>
      </c>
      <c r="K4" s="63" t="s">
        <v>206</v>
      </c>
      <c r="L4" s="60" t="s">
        <v>207</v>
      </c>
      <c r="M4" s="62" t="s">
        <v>208</v>
      </c>
      <c r="N4" s="62" t="s">
        <v>209</v>
      </c>
      <c r="O4" s="62" t="s">
        <v>210</v>
      </c>
      <c r="P4" s="62" t="s">
        <v>211</v>
      </c>
      <c r="Q4" s="62" t="s">
        <v>212</v>
      </c>
      <c r="R4" s="62" t="s">
        <v>213</v>
      </c>
      <c r="S4" s="62" t="s">
        <v>214</v>
      </c>
      <c r="T4" s="62" t="s">
        <v>215</v>
      </c>
      <c r="U4" s="62" t="s">
        <v>216</v>
      </c>
      <c r="V4" s="62" t="s">
        <v>217</v>
      </c>
      <c r="W4" s="63" t="s">
        <v>218</v>
      </c>
      <c r="X4" s="60" t="s">
        <v>219</v>
      </c>
      <c r="Y4" s="62" t="s">
        <v>220</v>
      </c>
      <c r="Z4" s="62" t="s">
        <v>221</v>
      </c>
      <c r="AA4" s="62" t="s">
        <v>222</v>
      </c>
      <c r="AB4" s="62" t="s">
        <v>223</v>
      </c>
      <c r="AC4" s="62" t="s">
        <v>224</v>
      </c>
      <c r="AD4" s="62" t="s">
        <v>225</v>
      </c>
      <c r="AE4" s="63" t="s">
        <v>226</v>
      </c>
      <c r="AF4" s="60" t="s">
        <v>227</v>
      </c>
      <c r="AG4" s="62" t="s">
        <v>228</v>
      </c>
      <c r="AH4" s="62" t="s">
        <v>229</v>
      </c>
      <c r="AI4" s="62" t="s">
        <v>230</v>
      </c>
      <c r="AJ4" s="62" t="s">
        <v>231</v>
      </c>
      <c r="AK4" s="62" t="s">
        <v>232</v>
      </c>
      <c r="AL4" s="62" t="s">
        <v>233</v>
      </c>
      <c r="AM4" s="62" t="s">
        <v>234</v>
      </c>
      <c r="AN4" s="63" t="s">
        <v>235</v>
      </c>
      <c r="AO4" s="60" t="s">
        <v>236</v>
      </c>
      <c r="AP4" s="62" t="s">
        <v>237</v>
      </c>
      <c r="AQ4" s="62" t="s">
        <v>238</v>
      </c>
      <c r="AR4" s="62" t="s">
        <v>239</v>
      </c>
      <c r="AS4" s="62" t="s">
        <v>240</v>
      </c>
      <c r="AT4" s="63" t="s">
        <v>241</v>
      </c>
      <c r="AU4" s="60" t="s">
        <v>242</v>
      </c>
      <c r="AV4" s="63" t="s">
        <v>243</v>
      </c>
      <c r="AW4" s="60" t="n">
        <v>4</v>
      </c>
      <c r="AX4" s="59" t="s">
        <v>196</v>
      </c>
      <c r="AY4" s="50"/>
      <c r="AZ4" s="50"/>
      <c r="BA4" s="57" t="n">
        <v>38</v>
      </c>
      <c r="BB4" s="9"/>
      <c r="BC4" s="9"/>
    </row>
    <row r="5" customFormat="false" ht="18" hidden="false" customHeight="true" outlineLevel="0" collapsed="false">
      <c r="A5" s="66" t="s">
        <v>244</v>
      </c>
      <c r="B5" s="67" t="s">
        <v>245</v>
      </c>
      <c r="C5" s="68" t="s">
        <v>246</v>
      </c>
      <c r="D5" s="67" t="s">
        <v>247</v>
      </c>
      <c r="E5" s="61"/>
      <c r="F5" s="67" t="s">
        <v>248</v>
      </c>
      <c r="G5" s="68" t="s">
        <v>249</v>
      </c>
      <c r="H5" s="67" t="s">
        <v>250</v>
      </c>
      <c r="I5" s="68" t="s">
        <v>251</v>
      </c>
      <c r="J5" s="67" t="s">
        <v>252</v>
      </c>
      <c r="K5" s="69" t="s">
        <v>253</v>
      </c>
      <c r="L5" s="66" t="s">
        <v>254</v>
      </c>
      <c r="M5" s="68" t="s">
        <v>255</v>
      </c>
      <c r="N5" s="68" t="s">
        <v>256</v>
      </c>
      <c r="O5" s="68" t="s">
        <v>257</v>
      </c>
      <c r="P5" s="68" t="s">
        <v>258</v>
      </c>
      <c r="Q5" s="68" t="s">
        <v>259</v>
      </c>
      <c r="R5" s="68" t="s">
        <v>260</v>
      </c>
      <c r="S5" s="68" t="s">
        <v>261</v>
      </c>
      <c r="T5" s="68" t="s">
        <v>262</v>
      </c>
      <c r="U5" s="68" t="s">
        <v>263</v>
      </c>
      <c r="V5" s="68" t="s">
        <v>264</v>
      </c>
      <c r="W5" s="69" t="s">
        <v>265</v>
      </c>
      <c r="X5" s="66" t="s">
        <v>266</v>
      </c>
      <c r="Y5" s="68" t="s">
        <v>267</v>
      </c>
      <c r="Z5" s="68" t="s">
        <v>268</v>
      </c>
      <c r="AA5" s="68" t="s">
        <v>269</v>
      </c>
      <c r="AB5" s="68" t="s">
        <v>270</v>
      </c>
      <c r="AC5" s="68" t="s">
        <v>271</v>
      </c>
      <c r="AD5" s="68" t="s">
        <v>272</v>
      </c>
      <c r="AE5" s="69" t="s">
        <v>273</v>
      </c>
      <c r="AF5" s="66" t="s">
        <v>274</v>
      </c>
      <c r="AG5" s="68" t="s">
        <v>275</v>
      </c>
      <c r="AH5" s="68" t="s">
        <v>276</v>
      </c>
      <c r="AI5" s="68" t="s">
        <v>277</v>
      </c>
      <c r="AJ5" s="68" t="s">
        <v>278</v>
      </c>
      <c r="AK5" s="68" t="s">
        <v>279</v>
      </c>
      <c r="AL5" s="68" t="s">
        <v>280</v>
      </c>
      <c r="AM5" s="68" t="s">
        <v>281</v>
      </c>
      <c r="AN5" s="69" t="s">
        <v>282</v>
      </c>
      <c r="AO5" s="66" t="s">
        <v>283</v>
      </c>
      <c r="AP5" s="68" t="s">
        <v>284</v>
      </c>
      <c r="AQ5" s="68" t="s">
        <v>285</v>
      </c>
      <c r="AR5" s="68" t="s">
        <v>286</v>
      </c>
      <c r="AS5" s="68" t="s">
        <v>287</v>
      </c>
      <c r="AT5" s="69" t="s">
        <v>288</v>
      </c>
      <c r="AU5" s="66" t="s">
        <v>289</v>
      </c>
      <c r="AV5" s="69" t="s">
        <v>290</v>
      </c>
      <c r="AW5" s="64" t="n">
        <v>5</v>
      </c>
      <c r="AX5" s="65" t="s">
        <v>10</v>
      </c>
      <c r="AY5" s="50"/>
      <c r="AZ5" s="50"/>
      <c r="BA5" s="57" t="n">
        <v>12</v>
      </c>
      <c r="BB5" s="9"/>
      <c r="BC5" s="9"/>
    </row>
    <row r="6" customFormat="false" ht="18" hidden="false" customHeight="true" outlineLevel="0" collapsed="false">
      <c r="A6" s="60" t="s">
        <v>291</v>
      </c>
      <c r="B6" s="62" t="s">
        <v>292</v>
      </c>
      <c r="C6" s="62" t="s">
        <v>293</v>
      </c>
      <c r="D6" s="62" t="s">
        <v>294</v>
      </c>
      <c r="E6" s="62" t="s">
        <v>295</v>
      </c>
      <c r="F6" s="61"/>
      <c r="G6" s="62" t="s">
        <v>296</v>
      </c>
      <c r="H6" s="62" t="s">
        <v>297</v>
      </c>
      <c r="I6" s="62" t="s">
        <v>298</v>
      </c>
      <c r="J6" s="62" t="s">
        <v>299</v>
      </c>
      <c r="K6" s="63" t="s">
        <v>300</v>
      </c>
      <c r="L6" s="60" t="s">
        <v>301</v>
      </c>
      <c r="M6" s="62" t="s">
        <v>302</v>
      </c>
      <c r="N6" s="62" t="s">
        <v>303</v>
      </c>
      <c r="O6" s="62" t="s">
        <v>304</v>
      </c>
      <c r="P6" s="62" t="s">
        <v>305</v>
      </c>
      <c r="Q6" s="62" t="s">
        <v>306</v>
      </c>
      <c r="R6" s="62" t="s">
        <v>307</v>
      </c>
      <c r="S6" s="62" t="s">
        <v>308</v>
      </c>
      <c r="T6" s="62" t="s">
        <v>309</v>
      </c>
      <c r="U6" s="62" t="s">
        <v>310</v>
      </c>
      <c r="V6" s="62" t="s">
        <v>311</v>
      </c>
      <c r="W6" s="63" t="s">
        <v>312</v>
      </c>
      <c r="X6" s="60" t="s">
        <v>313</v>
      </c>
      <c r="Y6" s="62" t="s">
        <v>314</v>
      </c>
      <c r="Z6" s="62" t="s">
        <v>315</v>
      </c>
      <c r="AA6" s="62" t="s">
        <v>316</v>
      </c>
      <c r="AB6" s="62" t="s">
        <v>317</v>
      </c>
      <c r="AC6" s="62" t="s">
        <v>318</v>
      </c>
      <c r="AD6" s="62" t="s">
        <v>319</v>
      </c>
      <c r="AE6" s="63" t="s">
        <v>320</v>
      </c>
      <c r="AF6" s="60" t="s">
        <v>321</v>
      </c>
      <c r="AG6" s="62" t="s">
        <v>322</v>
      </c>
      <c r="AH6" s="62" t="s">
        <v>323</v>
      </c>
      <c r="AI6" s="62" t="s">
        <v>324</v>
      </c>
      <c r="AJ6" s="62" t="s">
        <v>325</v>
      </c>
      <c r="AK6" s="62" t="s">
        <v>326</v>
      </c>
      <c r="AL6" s="62" t="s">
        <v>327</v>
      </c>
      <c r="AM6" s="62" t="s">
        <v>328</v>
      </c>
      <c r="AN6" s="63" t="s">
        <v>329</v>
      </c>
      <c r="AO6" s="60" t="s">
        <v>330</v>
      </c>
      <c r="AP6" s="62" t="s">
        <v>331</v>
      </c>
      <c r="AQ6" s="62" t="s">
        <v>332</v>
      </c>
      <c r="AR6" s="62" t="s">
        <v>333</v>
      </c>
      <c r="AS6" s="62" t="s">
        <v>334</v>
      </c>
      <c r="AT6" s="63" t="s">
        <v>335</v>
      </c>
      <c r="AU6" s="60" t="s">
        <v>336</v>
      </c>
      <c r="AV6" s="63" t="s">
        <v>337</v>
      </c>
      <c r="AW6" s="60" t="n">
        <v>6</v>
      </c>
      <c r="AX6" s="59" t="s">
        <v>11</v>
      </c>
      <c r="AY6" s="50"/>
      <c r="AZ6" s="50"/>
      <c r="BA6" s="57" t="n">
        <v>35</v>
      </c>
      <c r="BB6" s="9"/>
      <c r="BC6" s="70"/>
    </row>
    <row r="7" customFormat="false" ht="18" hidden="false" customHeight="true" outlineLevel="0" collapsed="false">
      <c r="A7" s="66" t="s">
        <v>338</v>
      </c>
      <c r="B7" s="67" t="s">
        <v>339</v>
      </c>
      <c r="C7" s="68" t="s">
        <v>340</v>
      </c>
      <c r="D7" s="67" t="s">
        <v>341</v>
      </c>
      <c r="E7" s="68" t="s">
        <v>342</v>
      </c>
      <c r="F7" s="67" t="s">
        <v>343</v>
      </c>
      <c r="G7" s="61"/>
      <c r="H7" s="67" t="s">
        <v>344</v>
      </c>
      <c r="I7" s="68" t="s">
        <v>345</v>
      </c>
      <c r="J7" s="67" t="s">
        <v>346</v>
      </c>
      <c r="K7" s="69" t="s">
        <v>347</v>
      </c>
      <c r="L7" s="66" t="s">
        <v>348</v>
      </c>
      <c r="M7" s="68" t="s">
        <v>349</v>
      </c>
      <c r="N7" s="68" t="s">
        <v>350</v>
      </c>
      <c r="O7" s="68" t="s">
        <v>351</v>
      </c>
      <c r="P7" s="68" t="s">
        <v>352</v>
      </c>
      <c r="Q7" s="68" t="s">
        <v>353</v>
      </c>
      <c r="R7" s="68" t="s">
        <v>354</v>
      </c>
      <c r="S7" s="68" t="s">
        <v>355</v>
      </c>
      <c r="T7" s="68" t="s">
        <v>356</v>
      </c>
      <c r="U7" s="68" t="s">
        <v>357</v>
      </c>
      <c r="V7" s="68" t="s">
        <v>358</v>
      </c>
      <c r="W7" s="69" t="s">
        <v>359</v>
      </c>
      <c r="X7" s="66" t="s">
        <v>360</v>
      </c>
      <c r="Y7" s="68" t="s">
        <v>361</v>
      </c>
      <c r="Z7" s="68" t="s">
        <v>362</v>
      </c>
      <c r="AA7" s="68" t="s">
        <v>363</v>
      </c>
      <c r="AB7" s="68" t="s">
        <v>364</v>
      </c>
      <c r="AC7" s="68" t="s">
        <v>365</v>
      </c>
      <c r="AD7" s="68" t="s">
        <v>366</v>
      </c>
      <c r="AE7" s="69" t="s">
        <v>367</v>
      </c>
      <c r="AF7" s="66" t="s">
        <v>368</v>
      </c>
      <c r="AG7" s="68" t="s">
        <v>369</v>
      </c>
      <c r="AH7" s="68" t="s">
        <v>370</v>
      </c>
      <c r="AI7" s="68" t="s">
        <v>371</v>
      </c>
      <c r="AJ7" s="68" t="s">
        <v>372</v>
      </c>
      <c r="AK7" s="68" t="s">
        <v>373</v>
      </c>
      <c r="AL7" s="68" t="s">
        <v>374</v>
      </c>
      <c r="AM7" s="68" t="s">
        <v>375</v>
      </c>
      <c r="AN7" s="69" t="s">
        <v>376</v>
      </c>
      <c r="AO7" s="66" t="s">
        <v>377</v>
      </c>
      <c r="AP7" s="68" t="s">
        <v>378</v>
      </c>
      <c r="AQ7" s="68" t="s">
        <v>379</v>
      </c>
      <c r="AR7" s="68" t="s">
        <v>380</v>
      </c>
      <c r="AS7" s="68" t="s">
        <v>381</v>
      </c>
      <c r="AT7" s="69" t="s">
        <v>382</v>
      </c>
      <c r="AU7" s="66" t="s">
        <v>383</v>
      </c>
      <c r="AV7" s="69" t="s">
        <v>384</v>
      </c>
      <c r="AW7" s="64" t="n">
        <v>7</v>
      </c>
      <c r="AX7" s="65" t="s">
        <v>12</v>
      </c>
      <c r="AY7" s="50"/>
      <c r="AZ7" s="50"/>
      <c r="BA7" s="57" t="n">
        <v>33</v>
      </c>
      <c r="BB7" s="2" t="s">
        <v>4886</v>
      </c>
      <c r="BC7" s="71"/>
      <c r="BD7" s="72"/>
      <c r="BE7" s="72"/>
    </row>
    <row r="8" customFormat="false" ht="18" hidden="false" customHeight="true" outlineLevel="0" collapsed="false">
      <c r="A8" s="60" t="s">
        <v>386</v>
      </c>
      <c r="B8" s="62" t="s">
        <v>387</v>
      </c>
      <c r="C8" s="62" t="s">
        <v>388</v>
      </c>
      <c r="D8" s="62" t="s">
        <v>389</v>
      </c>
      <c r="E8" s="62" t="s">
        <v>390</v>
      </c>
      <c r="F8" s="62" t="s">
        <v>391</v>
      </c>
      <c r="G8" s="62" t="s">
        <v>392</v>
      </c>
      <c r="H8" s="61"/>
      <c r="I8" s="62" t="s">
        <v>393</v>
      </c>
      <c r="J8" s="62" t="s">
        <v>394</v>
      </c>
      <c r="K8" s="63" t="s">
        <v>395</v>
      </c>
      <c r="L8" s="60" t="s">
        <v>396</v>
      </c>
      <c r="M8" s="62" t="s">
        <v>397</v>
      </c>
      <c r="N8" s="62" t="s">
        <v>398</v>
      </c>
      <c r="O8" s="62" t="s">
        <v>399</v>
      </c>
      <c r="P8" s="62" t="s">
        <v>400</v>
      </c>
      <c r="Q8" s="62" t="s">
        <v>401</v>
      </c>
      <c r="R8" s="62" t="s">
        <v>402</v>
      </c>
      <c r="S8" s="62" t="s">
        <v>403</v>
      </c>
      <c r="T8" s="62" t="s">
        <v>404</v>
      </c>
      <c r="U8" s="62" t="s">
        <v>405</v>
      </c>
      <c r="V8" s="62" t="s">
        <v>406</v>
      </c>
      <c r="W8" s="63" t="s">
        <v>407</v>
      </c>
      <c r="X8" s="60" t="s">
        <v>408</v>
      </c>
      <c r="Y8" s="62" t="s">
        <v>409</v>
      </c>
      <c r="Z8" s="62" t="s">
        <v>410</v>
      </c>
      <c r="AA8" s="62" t="s">
        <v>411</v>
      </c>
      <c r="AB8" s="62" t="s">
        <v>412</v>
      </c>
      <c r="AC8" s="62" t="s">
        <v>413</v>
      </c>
      <c r="AD8" s="62" t="s">
        <v>414</v>
      </c>
      <c r="AE8" s="63" t="s">
        <v>415</v>
      </c>
      <c r="AF8" s="60" t="s">
        <v>416</v>
      </c>
      <c r="AG8" s="62" t="s">
        <v>417</v>
      </c>
      <c r="AH8" s="62" t="s">
        <v>418</v>
      </c>
      <c r="AI8" s="62" t="s">
        <v>419</v>
      </c>
      <c r="AJ8" s="62" t="s">
        <v>420</v>
      </c>
      <c r="AK8" s="62" t="s">
        <v>421</v>
      </c>
      <c r="AL8" s="62" t="s">
        <v>422</v>
      </c>
      <c r="AM8" s="62" t="s">
        <v>423</v>
      </c>
      <c r="AN8" s="63" t="s">
        <v>424</v>
      </c>
      <c r="AO8" s="60" t="s">
        <v>425</v>
      </c>
      <c r="AP8" s="62" t="s">
        <v>426</v>
      </c>
      <c r="AQ8" s="62" t="s">
        <v>427</v>
      </c>
      <c r="AR8" s="62" t="s">
        <v>428</v>
      </c>
      <c r="AS8" s="62" t="s">
        <v>429</v>
      </c>
      <c r="AT8" s="63" t="s">
        <v>430</v>
      </c>
      <c r="AU8" s="60" t="s">
        <v>431</v>
      </c>
      <c r="AV8" s="63" t="s">
        <v>432</v>
      </c>
      <c r="AW8" s="60" t="n">
        <v>8</v>
      </c>
      <c r="AX8" s="59" t="s">
        <v>13</v>
      </c>
      <c r="AY8" s="50"/>
      <c r="AZ8" s="50"/>
      <c r="BA8" s="57" t="n">
        <v>57</v>
      </c>
      <c r="BB8" s="73" t="s">
        <v>433</v>
      </c>
      <c r="BC8" s="73"/>
      <c r="BD8" s="72"/>
      <c r="BE8" s="72"/>
    </row>
    <row r="9" customFormat="false" ht="18" hidden="false" customHeight="true" outlineLevel="0" collapsed="false">
      <c r="A9" s="66" t="s">
        <v>434</v>
      </c>
      <c r="B9" s="67" t="s">
        <v>435</v>
      </c>
      <c r="C9" s="68" t="s">
        <v>436</v>
      </c>
      <c r="D9" s="67" t="s">
        <v>437</v>
      </c>
      <c r="E9" s="68" t="s">
        <v>438</v>
      </c>
      <c r="F9" s="67" t="s">
        <v>439</v>
      </c>
      <c r="G9" s="68" t="s">
        <v>440</v>
      </c>
      <c r="H9" s="67" t="s">
        <v>441</v>
      </c>
      <c r="I9" s="61"/>
      <c r="J9" s="67" t="s">
        <v>442</v>
      </c>
      <c r="K9" s="69" t="s">
        <v>443</v>
      </c>
      <c r="L9" s="66" t="s">
        <v>444</v>
      </c>
      <c r="M9" s="68" t="s">
        <v>445</v>
      </c>
      <c r="N9" s="68" t="s">
        <v>446</v>
      </c>
      <c r="O9" s="68" t="s">
        <v>447</v>
      </c>
      <c r="P9" s="68" t="s">
        <v>448</v>
      </c>
      <c r="Q9" s="68" t="s">
        <v>449</v>
      </c>
      <c r="R9" s="68" t="s">
        <v>450</v>
      </c>
      <c r="S9" s="68" t="s">
        <v>451</v>
      </c>
      <c r="T9" s="68" t="s">
        <v>452</v>
      </c>
      <c r="U9" s="68" t="s">
        <v>453</v>
      </c>
      <c r="V9" s="68" t="s">
        <v>454</v>
      </c>
      <c r="W9" s="69" t="s">
        <v>455</v>
      </c>
      <c r="X9" s="66" t="s">
        <v>456</v>
      </c>
      <c r="Y9" s="68" t="s">
        <v>457</v>
      </c>
      <c r="Z9" s="68" t="s">
        <v>458</v>
      </c>
      <c r="AA9" s="68" t="s">
        <v>459</v>
      </c>
      <c r="AB9" s="68" t="s">
        <v>460</v>
      </c>
      <c r="AC9" s="68" t="s">
        <v>461</v>
      </c>
      <c r="AD9" s="68" t="s">
        <v>462</v>
      </c>
      <c r="AE9" s="69" t="s">
        <v>463</v>
      </c>
      <c r="AF9" s="66" t="s">
        <v>464</v>
      </c>
      <c r="AG9" s="68" t="s">
        <v>465</v>
      </c>
      <c r="AH9" s="68" t="s">
        <v>466</v>
      </c>
      <c r="AI9" s="68" t="s">
        <v>467</v>
      </c>
      <c r="AJ9" s="68" t="s">
        <v>468</v>
      </c>
      <c r="AK9" s="68" t="s">
        <v>469</v>
      </c>
      <c r="AL9" s="68" t="s">
        <v>470</v>
      </c>
      <c r="AM9" s="68" t="s">
        <v>471</v>
      </c>
      <c r="AN9" s="69" t="s">
        <v>472</v>
      </c>
      <c r="AO9" s="66" t="s">
        <v>473</v>
      </c>
      <c r="AP9" s="68" t="s">
        <v>474</v>
      </c>
      <c r="AQ9" s="68" t="s">
        <v>475</v>
      </c>
      <c r="AR9" s="68" t="s">
        <v>476</v>
      </c>
      <c r="AS9" s="68" t="s">
        <v>477</v>
      </c>
      <c r="AT9" s="69" t="s">
        <v>478</v>
      </c>
      <c r="AU9" s="66" t="s">
        <v>479</v>
      </c>
      <c r="AV9" s="69" t="s">
        <v>480</v>
      </c>
      <c r="AW9" s="64" t="n">
        <v>9</v>
      </c>
      <c r="AX9" s="65" t="s">
        <v>14</v>
      </c>
      <c r="AY9" s="50"/>
      <c r="AZ9" s="50"/>
      <c r="BA9" s="57" t="n">
        <v>31</v>
      </c>
      <c r="BB9" s="74" t="n">
        <v>1</v>
      </c>
      <c r="BC9" s="122" t="s">
        <v>481</v>
      </c>
      <c r="BD9" s="76" t="n">
        <v>0</v>
      </c>
      <c r="BE9" s="76" t="n">
        <f aca="false">_xlfn.RANK.EQ(BD9,$BD$9:$BD$48,0)</f>
        <v>1</v>
      </c>
    </row>
    <row r="10" customFormat="false" ht="18" hidden="false" customHeight="true" outlineLevel="0" collapsed="false">
      <c r="A10" s="60" t="s">
        <v>482</v>
      </c>
      <c r="B10" s="62" t="s">
        <v>483</v>
      </c>
      <c r="C10" s="62" t="s">
        <v>484</v>
      </c>
      <c r="D10" s="62" t="s">
        <v>485</v>
      </c>
      <c r="E10" s="62" t="s">
        <v>486</v>
      </c>
      <c r="F10" s="62" t="s">
        <v>487</v>
      </c>
      <c r="G10" s="62" t="s">
        <v>488</v>
      </c>
      <c r="H10" s="62" t="s">
        <v>489</v>
      </c>
      <c r="I10" s="62" t="s">
        <v>490</v>
      </c>
      <c r="J10" s="61"/>
      <c r="K10" s="63" t="s">
        <v>491</v>
      </c>
      <c r="L10" s="60" t="s">
        <v>492</v>
      </c>
      <c r="M10" s="62" t="s">
        <v>493</v>
      </c>
      <c r="N10" s="62" t="s">
        <v>494</v>
      </c>
      <c r="O10" s="62" t="s">
        <v>495</v>
      </c>
      <c r="P10" s="62" t="s">
        <v>496</v>
      </c>
      <c r="Q10" s="62" t="s">
        <v>497</v>
      </c>
      <c r="R10" s="62" t="s">
        <v>498</v>
      </c>
      <c r="S10" s="62" t="s">
        <v>499</v>
      </c>
      <c r="T10" s="62" t="s">
        <v>500</v>
      </c>
      <c r="U10" s="62" t="s">
        <v>501</v>
      </c>
      <c r="V10" s="62" t="s">
        <v>502</v>
      </c>
      <c r="W10" s="63" t="s">
        <v>503</v>
      </c>
      <c r="X10" s="60" t="s">
        <v>504</v>
      </c>
      <c r="Y10" s="62" t="s">
        <v>505</v>
      </c>
      <c r="Z10" s="62" t="s">
        <v>506</v>
      </c>
      <c r="AA10" s="62" t="s">
        <v>507</v>
      </c>
      <c r="AB10" s="62" t="s">
        <v>508</v>
      </c>
      <c r="AC10" s="62" t="s">
        <v>509</v>
      </c>
      <c r="AD10" s="62" t="s">
        <v>510</v>
      </c>
      <c r="AE10" s="63" t="s">
        <v>511</v>
      </c>
      <c r="AF10" s="60" t="s">
        <v>512</v>
      </c>
      <c r="AG10" s="62" t="s">
        <v>513</v>
      </c>
      <c r="AH10" s="62" t="s">
        <v>514</v>
      </c>
      <c r="AI10" s="62" t="s">
        <v>515</v>
      </c>
      <c r="AJ10" s="62" t="s">
        <v>516</v>
      </c>
      <c r="AK10" s="62" t="s">
        <v>517</v>
      </c>
      <c r="AL10" s="62" t="s">
        <v>518</v>
      </c>
      <c r="AM10" s="62" t="s">
        <v>519</v>
      </c>
      <c r="AN10" s="63" t="s">
        <v>520</v>
      </c>
      <c r="AO10" s="60" t="s">
        <v>521</v>
      </c>
      <c r="AP10" s="62" t="s">
        <v>522</v>
      </c>
      <c r="AQ10" s="62" t="s">
        <v>523</v>
      </c>
      <c r="AR10" s="62" t="s">
        <v>524</v>
      </c>
      <c r="AS10" s="62" t="s">
        <v>525</v>
      </c>
      <c r="AT10" s="63" t="s">
        <v>526</v>
      </c>
      <c r="AU10" s="60" t="s">
        <v>527</v>
      </c>
      <c r="AV10" s="63" t="s">
        <v>528</v>
      </c>
      <c r="AW10" s="60" t="n">
        <v>10</v>
      </c>
      <c r="AX10" s="59" t="s">
        <v>15</v>
      </c>
      <c r="AY10" s="50"/>
      <c r="AZ10" s="50"/>
      <c r="BA10" s="57" t="n">
        <v>15</v>
      </c>
      <c r="BB10" s="74" t="n">
        <v>2</v>
      </c>
      <c r="BC10" s="122" t="s">
        <v>529</v>
      </c>
      <c r="BD10" s="76" t="n">
        <v>0</v>
      </c>
      <c r="BE10" s="76" t="n">
        <f aca="false">_xlfn.RANK.EQ(BD10,$BD$9:$BD$48,0)</f>
        <v>1</v>
      </c>
    </row>
    <row r="11" customFormat="false" ht="18" hidden="false" customHeight="true" outlineLevel="0" collapsed="false">
      <c r="A11" s="80" t="s">
        <v>531</v>
      </c>
      <c r="B11" s="81" t="s">
        <v>532</v>
      </c>
      <c r="C11" s="82" t="s">
        <v>533</v>
      </c>
      <c r="D11" s="81" t="s">
        <v>534</v>
      </c>
      <c r="E11" s="82" t="s">
        <v>535</v>
      </c>
      <c r="F11" s="81" t="s">
        <v>536</v>
      </c>
      <c r="G11" s="82" t="s">
        <v>537</v>
      </c>
      <c r="H11" s="81" t="s">
        <v>538</v>
      </c>
      <c r="I11" s="81" t="s">
        <v>539</v>
      </c>
      <c r="J11" s="81" t="s">
        <v>540</v>
      </c>
      <c r="K11" s="83"/>
      <c r="L11" s="84" t="s">
        <v>541</v>
      </c>
      <c r="M11" s="85" t="s">
        <v>542</v>
      </c>
      <c r="N11" s="85" t="s">
        <v>543</v>
      </c>
      <c r="O11" s="85" t="s">
        <v>544</v>
      </c>
      <c r="P11" s="85" t="s">
        <v>545</v>
      </c>
      <c r="Q11" s="85" t="s">
        <v>546</v>
      </c>
      <c r="R11" s="85" t="s">
        <v>547</v>
      </c>
      <c r="S11" s="85" t="s">
        <v>548</v>
      </c>
      <c r="T11" s="85" t="s">
        <v>549</v>
      </c>
      <c r="U11" s="85" t="s">
        <v>550</v>
      </c>
      <c r="V11" s="85" t="s">
        <v>551</v>
      </c>
      <c r="W11" s="86" t="s">
        <v>552</v>
      </c>
      <c r="X11" s="84" t="s">
        <v>553</v>
      </c>
      <c r="Y11" s="85" t="s">
        <v>554</v>
      </c>
      <c r="Z11" s="85" t="s">
        <v>555</v>
      </c>
      <c r="AA11" s="85" t="s">
        <v>556</v>
      </c>
      <c r="AB11" s="85" t="s">
        <v>557</v>
      </c>
      <c r="AC11" s="85" t="s">
        <v>558</v>
      </c>
      <c r="AD11" s="85" t="s">
        <v>559</v>
      </c>
      <c r="AE11" s="86" t="s">
        <v>560</v>
      </c>
      <c r="AF11" s="84" t="s">
        <v>561</v>
      </c>
      <c r="AG11" s="85" t="s">
        <v>562</v>
      </c>
      <c r="AH11" s="85" t="s">
        <v>563</v>
      </c>
      <c r="AI11" s="85" t="s">
        <v>564</v>
      </c>
      <c r="AJ11" s="85" t="s">
        <v>565</v>
      </c>
      <c r="AK11" s="85" t="s">
        <v>566</v>
      </c>
      <c r="AL11" s="85" t="s">
        <v>567</v>
      </c>
      <c r="AM11" s="85" t="s">
        <v>568</v>
      </c>
      <c r="AN11" s="86" t="s">
        <v>569</v>
      </c>
      <c r="AO11" s="84" t="s">
        <v>570</v>
      </c>
      <c r="AP11" s="85" t="s">
        <v>571</v>
      </c>
      <c r="AQ11" s="85" t="s">
        <v>572</v>
      </c>
      <c r="AR11" s="85" t="s">
        <v>573</v>
      </c>
      <c r="AS11" s="85" t="s">
        <v>574</v>
      </c>
      <c r="AT11" s="86" t="s">
        <v>575</v>
      </c>
      <c r="AU11" s="84" t="s">
        <v>576</v>
      </c>
      <c r="AV11" s="86" t="s">
        <v>577</v>
      </c>
      <c r="AW11" s="78" t="n">
        <v>11</v>
      </c>
      <c r="AX11" s="79" t="s">
        <v>530</v>
      </c>
      <c r="AY11" s="50"/>
      <c r="AZ11" s="50"/>
      <c r="BA11" s="57" t="n">
        <v>153</v>
      </c>
      <c r="BB11" s="74" t="n">
        <v>3</v>
      </c>
      <c r="BC11" s="122" t="s">
        <v>578</v>
      </c>
      <c r="BD11" s="76" t="n">
        <v>0</v>
      </c>
      <c r="BE11" s="76" t="n">
        <f aca="false">_xlfn.RANK.EQ(BD11,$BD$9:$BD$48,0)</f>
        <v>1</v>
      </c>
    </row>
    <row r="12" customFormat="false" ht="18" hidden="false" customHeight="true" outlineLevel="0" collapsed="false">
      <c r="A12" s="88" t="s">
        <v>580</v>
      </c>
      <c r="B12" s="90" t="s">
        <v>581</v>
      </c>
      <c r="C12" s="90" t="s">
        <v>582</v>
      </c>
      <c r="D12" s="90" t="s">
        <v>583</v>
      </c>
      <c r="E12" s="90" t="s">
        <v>584</v>
      </c>
      <c r="F12" s="90" t="s">
        <v>585</v>
      </c>
      <c r="G12" s="90" t="s">
        <v>586</v>
      </c>
      <c r="H12" s="90" t="s">
        <v>587</v>
      </c>
      <c r="I12" s="90" t="s">
        <v>588</v>
      </c>
      <c r="J12" s="90" t="s">
        <v>589</v>
      </c>
      <c r="K12" s="91" t="s">
        <v>590</v>
      </c>
      <c r="L12" s="53"/>
      <c r="M12" s="90" t="s">
        <v>591</v>
      </c>
      <c r="N12" s="90" t="s">
        <v>592</v>
      </c>
      <c r="O12" s="90" t="s">
        <v>593</v>
      </c>
      <c r="P12" s="90" t="s">
        <v>594</v>
      </c>
      <c r="Q12" s="90" t="s">
        <v>595</v>
      </c>
      <c r="R12" s="90" t="s">
        <v>596</v>
      </c>
      <c r="S12" s="90" t="s">
        <v>597</v>
      </c>
      <c r="T12" s="90" t="s">
        <v>598</v>
      </c>
      <c r="U12" s="90" t="s">
        <v>599</v>
      </c>
      <c r="V12" s="90" t="s">
        <v>600</v>
      </c>
      <c r="W12" s="91" t="s">
        <v>601</v>
      </c>
      <c r="X12" s="88" t="s">
        <v>602</v>
      </c>
      <c r="Y12" s="90" t="s">
        <v>603</v>
      </c>
      <c r="Z12" s="90" t="s">
        <v>604</v>
      </c>
      <c r="AA12" s="90" t="s">
        <v>605</v>
      </c>
      <c r="AB12" s="90" t="s">
        <v>606</v>
      </c>
      <c r="AC12" s="90" t="s">
        <v>607</v>
      </c>
      <c r="AD12" s="90" t="s">
        <v>608</v>
      </c>
      <c r="AE12" s="91" t="s">
        <v>609</v>
      </c>
      <c r="AF12" s="88" t="s">
        <v>610</v>
      </c>
      <c r="AG12" s="90" t="s">
        <v>611</v>
      </c>
      <c r="AH12" s="90" t="s">
        <v>612</v>
      </c>
      <c r="AI12" s="90" t="s">
        <v>613</v>
      </c>
      <c r="AJ12" s="90" t="s">
        <v>614</v>
      </c>
      <c r="AK12" s="90" t="s">
        <v>615</v>
      </c>
      <c r="AL12" s="90" t="s">
        <v>616</v>
      </c>
      <c r="AM12" s="90" t="s">
        <v>617</v>
      </c>
      <c r="AN12" s="91" t="s">
        <v>618</v>
      </c>
      <c r="AO12" s="88" t="s">
        <v>619</v>
      </c>
      <c r="AP12" s="90" t="s">
        <v>620</v>
      </c>
      <c r="AQ12" s="90" t="s">
        <v>621</v>
      </c>
      <c r="AR12" s="90" t="s">
        <v>622</v>
      </c>
      <c r="AS12" s="90" t="s">
        <v>623</v>
      </c>
      <c r="AT12" s="91" t="s">
        <v>624</v>
      </c>
      <c r="AU12" s="88" t="s">
        <v>625</v>
      </c>
      <c r="AV12" s="91" t="s">
        <v>626</v>
      </c>
      <c r="AW12" s="88" t="n">
        <v>12</v>
      </c>
      <c r="AX12" s="89" t="s">
        <v>579</v>
      </c>
      <c r="AY12" s="87" t="s">
        <v>1</v>
      </c>
      <c r="AZ12" s="87"/>
      <c r="BA12" s="57" t="n">
        <v>44</v>
      </c>
      <c r="BB12" s="74" t="n">
        <v>4</v>
      </c>
      <c r="BC12" s="122" t="s">
        <v>627</v>
      </c>
      <c r="BD12" s="76" t="n">
        <v>0</v>
      </c>
      <c r="BE12" s="76" t="n">
        <f aca="false">_xlfn.RANK.EQ(BD12,$BD$9:$BD$48,0)</f>
        <v>1</v>
      </c>
    </row>
    <row r="13" customFormat="false" ht="18" hidden="false" customHeight="true" outlineLevel="0" collapsed="false">
      <c r="A13" s="66" t="s">
        <v>629</v>
      </c>
      <c r="B13" s="67" t="s">
        <v>630</v>
      </c>
      <c r="C13" s="68" t="s">
        <v>631</v>
      </c>
      <c r="D13" s="67" t="s">
        <v>632</v>
      </c>
      <c r="E13" s="67" t="s">
        <v>633</v>
      </c>
      <c r="F13" s="68" t="s">
        <v>634</v>
      </c>
      <c r="G13" s="68" t="s">
        <v>635</v>
      </c>
      <c r="H13" s="68" t="s">
        <v>636</v>
      </c>
      <c r="I13" s="68" t="s">
        <v>637</v>
      </c>
      <c r="J13" s="68" t="s">
        <v>638</v>
      </c>
      <c r="K13" s="92" t="s">
        <v>639</v>
      </c>
      <c r="L13" s="64" t="s">
        <v>640</v>
      </c>
      <c r="M13" s="61"/>
      <c r="N13" s="68" t="s">
        <v>641</v>
      </c>
      <c r="O13" s="68" t="s">
        <v>642</v>
      </c>
      <c r="P13" s="68" t="s">
        <v>643</v>
      </c>
      <c r="Q13" s="68" t="s">
        <v>644</v>
      </c>
      <c r="R13" s="68" t="s">
        <v>645</v>
      </c>
      <c r="S13" s="68" t="s">
        <v>646</v>
      </c>
      <c r="T13" s="68" t="s">
        <v>647</v>
      </c>
      <c r="U13" s="68" t="s">
        <v>648</v>
      </c>
      <c r="V13" s="68" t="s">
        <v>649</v>
      </c>
      <c r="W13" s="69" t="s">
        <v>650</v>
      </c>
      <c r="X13" s="66" t="s">
        <v>651</v>
      </c>
      <c r="Y13" s="68" t="s">
        <v>652</v>
      </c>
      <c r="Z13" s="68" t="s">
        <v>653</v>
      </c>
      <c r="AA13" s="68" t="s">
        <v>654</v>
      </c>
      <c r="AB13" s="68" t="s">
        <v>655</v>
      </c>
      <c r="AC13" s="68" t="s">
        <v>656</v>
      </c>
      <c r="AD13" s="68" t="s">
        <v>657</v>
      </c>
      <c r="AE13" s="69" t="s">
        <v>658</v>
      </c>
      <c r="AF13" s="66" t="s">
        <v>659</v>
      </c>
      <c r="AG13" s="68" t="s">
        <v>660</v>
      </c>
      <c r="AH13" s="68" t="s">
        <v>661</v>
      </c>
      <c r="AI13" s="68" t="s">
        <v>662</v>
      </c>
      <c r="AJ13" s="68" t="s">
        <v>663</v>
      </c>
      <c r="AK13" s="68" t="s">
        <v>664</v>
      </c>
      <c r="AL13" s="68" t="s">
        <v>665</v>
      </c>
      <c r="AM13" s="68" t="s">
        <v>666</v>
      </c>
      <c r="AN13" s="69" t="s">
        <v>667</v>
      </c>
      <c r="AO13" s="66" t="s">
        <v>668</v>
      </c>
      <c r="AP13" s="68" t="s">
        <v>669</v>
      </c>
      <c r="AQ13" s="68" t="s">
        <v>670</v>
      </c>
      <c r="AR13" s="68" t="s">
        <v>671</v>
      </c>
      <c r="AS13" s="68" t="s">
        <v>672</v>
      </c>
      <c r="AT13" s="69" t="s">
        <v>673</v>
      </c>
      <c r="AU13" s="66" t="s">
        <v>674</v>
      </c>
      <c r="AV13" s="69" t="s">
        <v>675</v>
      </c>
      <c r="AW13" s="66" t="n">
        <v>13</v>
      </c>
      <c r="AX13" s="65" t="s">
        <v>628</v>
      </c>
      <c r="AY13" s="87"/>
      <c r="AZ13" s="87"/>
      <c r="BA13" s="57" t="n">
        <v>20</v>
      </c>
      <c r="BB13" s="74" t="n">
        <v>5</v>
      </c>
      <c r="BC13" s="122" t="s">
        <v>676</v>
      </c>
      <c r="BD13" s="76" t="n">
        <v>0</v>
      </c>
      <c r="BE13" s="76" t="n">
        <f aca="false">_xlfn.RANK.EQ(BD13,$BD$9:$BD$48,0)</f>
        <v>1</v>
      </c>
    </row>
    <row r="14" customFormat="false" ht="18" hidden="false" customHeight="true" outlineLevel="0" collapsed="false">
      <c r="A14" s="60" t="s">
        <v>677</v>
      </c>
      <c r="B14" s="62" t="s">
        <v>678</v>
      </c>
      <c r="C14" s="62" t="s">
        <v>679</v>
      </c>
      <c r="D14" s="62" t="s">
        <v>680</v>
      </c>
      <c r="E14" s="62" t="s">
        <v>681</v>
      </c>
      <c r="F14" s="62" t="s">
        <v>682</v>
      </c>
      <c r="G14" s="62" t="s">
        <v>683</v>
      </c>
      <c r="H14" s="62" t="s">
        <v>684</v>
      </c>
      <c r="I14" s="62" t="s">
        <v>685</v>
      </c>
      <c r="J14" s="62" t="s">
        <v>686</v>
      </c>
      <c r="K14" s="63" t="s">
        <v>687</v>
      </c>
      <c r="L14" s="60" t="s">
        <v>688</v>
      </c>
      <c r="M14" s="62" t="s">
        <v>689</v>
      </c>
      <c r="N14" s="61"/>
      <c r="O14" s="62" t="s">
        <v>690</v>
      </c>
      <c r="P14" s="62" t="s">
        <v>691</v>
      </c>
      <c r="Q14" s="62" t="s">
        <v>692</v>
      </c>
      <c r="R14" s="62" t="s">
        <v>693</v>
      </c>
      <c r="S14" s="62" t="s">
        <v>694</v>
      </c>
      <c r="T14" s="62" t="s">
        <v>695</v>
      </c>
      <c r="U14" s="62" t="s">
        <v>696</v>
      </c>
      <c r="V14" s="62" t="s">
        <v>697</v>
      </c>
      <c r="W14" s="63" t="s">
        <v>698</v>
      </c>
      <c r="X14" s="60" t="s">
        <v>699</v>
      </c>
      <c r="Y14" s="62" t="s">
        <v>700</v>
      </c>
      <c r="Z14" s="62" t="s">
        <v>701</v>
      </c>
      <c r="AA14" s="62" t="s">
        <v>702</v>
      </c>
      <c r="AB14" s="62" t="s">
        <v>703</v>
      </c>
      <c r="AC14" s="62" t="s">
        <v>704</v>
      </c>
      <c r="AD14" s="62" t="s">
        <v>705</v>
      </c>
      <c r="AE14" s="63" t="s">
        <v>706</v>
      </c>
      <c r="AF14" s="60" t="s">
        <v>707</v>
      </c>
      <c r="AG14" s="62" t="s">
        <v>708</v>
      </c>
      <c r="AH14" s="62" t="s">
        <v>709</v>
      </c>
      <c r="AI14" s="62" t="s">
        <v>710</v>
      </c>
      <c r="AJ14" s="62" t="s">
        <v>711</v>
      </c>
      <c r="AK14" s="62" t="s">
        <v>712</v>
      </c>
      <c r="AL14" s="62" t="s">
        <v>713</v>
      </c>
      <c r="AM14" s="62" t="s">
        <v>714</v>
      </c>
      <c r="AN14" s="63" t="s">
        <v>715</v>
      </c>
      <c r="AO14" s="60" t="s">
        <v>716</v>
      </c>
      <c r="AP14" s="62" t="s">
        <v>717</v>
      </c>
      <c r="AQ14" s="62" t="s">
        <v>718</v>
      </c>
      <c r="AR14" s="62" t="s">
        <v>719</v>
      </c>
      <c r="AS14" s="62" t="s">
        <v>720</v>
      </c>
      <c r="AT14" s="63" t="s">
        <v>721</v>
      </c>
      <c r="AU14" s="60" t="s">
        <v>722</v>
      </c>
      <c r="AV14" s="63" t="s">
        <v>723</v>
      </c>
      <c r="AW14" s="60" t="n">
        <v>14</v>
      </c>
      <c r="AX14" s="59" t="s">
        <v>19</v>
      </c>
      <c r="AY14" s="87"/>
      <c r="AZ14" s="87"/>
      <c r="BA14" s="57" t="n">
        <v>37</v>
      </c>
      <c r="BB14" s="74" t="n">
        <v>6</v>
      </c>
      <c r="BC14" s="122" t="s">
        <v>724</v>
      </c>
      <c r="BD14" s="76" t="n">
        <v>0</v>
      </c>
      <c r="BE14" s="76" t="n">
        <f aca="false">_xlfn.RANK.EQ(BD14,$BD$9:$BD$48,0)</f>
        <v>1</v>
      </c>
    </row>
    <row r="15" customFormat="false" ht="18" hidden="false" customHeight="true" outlineLevel="0" collapsed="false">
      <c r="A15" s="66" t="s">
        <v>725</v>
      </c>
      <c r="B15" s="67" t="s">
        <v>726</v>
      </c>
      <c r="C15" s="68" t="s">
        <v>727</v>
      </c>
      <c r="D15" s="67" t="s">
        <v>728</v>
      </c>
      <c r="E15" s="67" t="s">
        <v>729</v>
      </c>
      <c r="F15" s="68" t="s">
        <v>730</v>
      </c>
      <c r="G15" s="68" t="s">
        <v>731</v>
      </c>
      <c r="H15" s="68" t="s">
        <v>732</v>
      </c>
      <c r="I15" s="68" t="s">
        <v>733</v>
      </c>
      <c r="J15" s="68" t="s">
        <v>734</v>
      </c>
      <c r="K15" s="69" t="s">
        <v>735</v>
      </c>
      <c r="L15" s="66" t="s">
        <v>736</v>
      </c>
      <c r="M15" s="67" t="s">
        <v>737</v>
      </c>
      <c r="N15" s="67" t="s">
        <v>738</v>
      </c>
      <c r="O15" s="61"/>
      <c r="P15" s="68" t="s">
        <v>739</v>
      </c>
      <c r="Q15" s="68" t="s">
        <v>740</v>
      </c>
      <c r="R15" s="68" t="s">
        <v>741</v>
      </c>
      <c r="S15" s="68" t="s">
        <v>742</v>
      </c>
      <c r="T15" s="68" t="s">
        <v>743</v>
      </c>
      <c r="U15" s="68" t="s">
        <v>744</v>
      </c>
      <c r="V15" s="68" t="s">
        <v>745</v>
      </c>
      <c r="W15" s="69" t="s">
        <v>746</v>
      </c>
      <c r="X15" s="66" t="s">
        <v>747</v>
      </c>
      <c r="Y15" s="68" t="s">
        <v>748</v>
      </c>
      <c r="Z15" s="68" t="s">
        <v>749</v>
      </c>
      <c r="AA15" s="68" t="s">
        <v>750</v>
      </c>
      <c r="AB15" s="68" t="s">
        <v>751</v>
      </c>
      <c r="AC15" s="68" t="s">
        <v>752</v>
      </c>
      <c r="AD15" s="68" t="s">
        <v>753</v>
      </c>
      <c r="AE15" s="69" t="s">
        <v>754</v>
      </c>
      <c r="AF15" s="66" t="s">
        <v>755</v>
      </c>
      <c r="AG15" s="68" t="s">
        <v>756</v>
      </c>
      <c r="AH15" s="68" t="s">
        <v>757</v>
      </c>
      <c r="AI15" s="68" t="s">
        <v>758</v>
      </c>
      <c r="AJ15" s="68" t="s">
        <v>759</v>
      </c>
      <c r="AK15" s="68" t="s">
        <v>760</v>
      </c>
      <c r="AL15" s="68" t="s">
        <v>761</v>
      </c>
      <c r="AM15" s="68" t="s">
        <v>762</v>
      </c>
      <c r="AN15" s="69" t="s">
        <v>763</v>
      </c>
      <c r="AO15" s="66" t="s">
        <v>764</v>
      </c>
      <c r="AP15" s="68" t="s">
        <v>765</v>
      </c>
      <c r="AQ15" s="68" t="s">
        <v>766</v>
      </c>
      <c r="AR15" s="68" t="s">
        <v>767</v>
      </c>
      <c r="AS15" s="68" t="s">
        <v>768</v>
      </c>
      <c r="AT15" s="69" t="s">
        <v>769</v>
      </c>
      <c r="AU15" s="66" t="s">
        <v>770</v>
      </c>
      <c r="AV15" s="69" t="s">
        <v>771</v>
      </c>
      <c r="AW15" s="66" t="n">
        <v>15</v>
      </c>
      <c r="AX15" s="65" t="s">
        <v>20</v>
      </c>
      <c r="AY15" s="87"/>
      <c r="AZ15" s="87"/>
      <c r="BA15" s="57" t="n">
        <v>10</v>
      </c>
      <c r="BB15" s="74" t="n">
        <v>7</v>
      </c>
      <c r="BC15" s="122" t="s">
        <v>772</v>
      </c>
      <c r="BD15" s="76" t="n">
        <v>0</v>
      </c>
      <c r="BE15" s="76" t="n">
        <f aca="false">_xlfn.RANK.EQ(BD15,$BD$9:$BD$48,0)</f>
        <v>1</v>
      </c>
    </row>
    <row r="16" customFormat="false" ht="18" hidden="false" customHeight="true" outlineLevel="0" collapsed="false">
      <c r="A16" s="60" t="s">
        <v>774</v>
      </c>
      <c r="B16" s="62" t="s">
        <v>775</v>
      </c>
      <c r="C16" s="62" t="s">
        <v>776</v>
      </c>
      <c r="D16" s="62" t="s">
        <v>777</v>
      </c>
      <c r="E16" s="62" t="s">
        <v>778</v>
      </c>
      <c r="F16" s="62" t="s">
        <v>779</v>
      </c>
      <c r="G16" s="62" t="s">
        <v>780</v>
      </c>
      <c r="H16" s="62" t="s">
        <v>781</v>
      </c>
      <c r="I16" s="62" t="s">
        <v>782</v>
      </c>
      <c r="J16" s="62" t="s">
        <v>783</v>
      </c>
      <c r="K16" s="63" t="s">
        <v>784</v>
      </c>
      <c r="L16" s="60" t="s">
        <v>785</v>
      </c>
      <c r="M16" s="62" t="s">
        <v>786</v>
      </c>
      <c r="N16" s="62" t="s">
        <v>787</v>
      </c>
      <c r="O16" s="62" t="s">
        <v>788</v>
      </c>
      <c r="P16" s="61"/>
      <c r="Q16" s="62" t="s">
        <v>789</v>
      </c>
      <c r="R16" s="62" t="s">
        <v>790</v>
      </c>
      <c r="S16" s="62" t="s">
        <v>791</v>
      </c>
      <c r="T16" s="62" t="s">
        <v>792</v>
      </c>
      <c r="U16" s="62" t="s">
        <v>793</v>
      </c>
      <c r="V16" s="62" t="s">
        <v>794</v>
      </c>
      <c r="W16" s="63" t="s">
        <v>795</v>
      </c>
      <c r="X16" s="60" t="s">
        <v>796</v>
      </c>
      <c r="Y16" s="62" t="s">
        <v>797</v>
      </c>
      <c r="Z16" s="62" t="s">
        <v>798</v>
      </c>
      <c r="AA16" s="62" t="s">
        <v>799</v>
      </c>
      <c r="AB16" s="62" t="s">
        <v>800</v>
      </c>
      <c r="AC16" s="62" t="s">
        <v>801</v>
      </c>
      <c r="AD16" s="62" t="s">
        <v>802</v>
      </c>
      <c r="AE16" s="63" t="s">
        <v>803</v>
      </c>
      <c r="AF16" s="60" t="s">
        <v>804</v>
      </c>
      <c r="AG16" s="62" t="s">
        <v>805</v>
      </c>
      <c r="AH16" s="62" t="s">
        <v>806</v>
      </c>
      <c r="AI16" s="62" t="s">
        <v>807</v>
      </c>
      <c r="AJ16" s="62" t="s">
        <v>808</v>
      </c>
      <c r="AK16" s="62" t="s">
        <v>809</v>
      </c>
      <c r="AL16" s="62" t="s">
        <v>810</v>
      </c>
      <c r="AM16" s="62" t="s">
        <v>811</v>
      </c>
      <c r="AN16" s="63" t="s">
        <v>812</v>
      </c>
      <c r="AO16" s="60" t="s">
        <v>813</v>
      </c>
      <c r="AP16" s="62" t="s">
        <v>814</v>
      </c>
      <c r="AQ16" s="62" t="s">
        <v>815</v>
      </c>
      <c r="AR16" s="62" t="s">
        <v>816</v>
      </c>
      <c r="AS16" s="62" t="s">
        <v>817</v>
      </c>
      <c r="AT16" s="63" t="s">
        <v>818</v>
      </c>
      <c r="AU16" s="60" t="s">
        <v>819</v>
      </c>
      <c r="AV16" s="63" t="s">
        <v>820</v>
      </c>
      <c r="AW16" s="60" t="n">
        <v>16</v>
      </c>
      <c r="AX16" s="59" t="s">
        <v>773</v>
      </c>
      <c r="AY16" s="87"/>
      <c r="AZ16" s="87"/>
      <c r="BA16" s="57" t="n">
        <v>28</v>
      </c>
      <c r="BB16" s="74" t="n">
        <v>8</v>
      </c>
      <c r="BC16" s="122" t="s">
        <v>821</v>
      </c>
      <c r="BD16" s="76" t="n">
        <v>0</v>
      </c>
      <c r="BE16" s="76" t="n">
        <f aca="false">_xlfn.RANK.EQ(BD16,$BD$9:$BD$48,0)</f>
        <v>1</v>
      </c>
    </row>
    <row r="17" customFormat="false" ht="18" hidden="false" customHeight="true" outlineLevel="0" collapsed="false">
      <c r="A17" s="66" t="s">
        <v>823</v>
      </c>
      <c r="B17" s="67" t="s">
        <v>824</v>
      </c>
      <c r="C17" s="68" t="s">
        <v>825</v>
      </c>
      <c r="D17" s="67" t="s">
        <v>826</v>
      </c>
      <c r="E17" s="67" t="s">
        <v>827</v>
      </c>
      <c r="F17" s="68" t="s">
        <v>828</v>
      </c>
      <c r="G17" s="68" t="s">
        <v>829</v>
      </c>
      <c r="H17" s="68" t="s">
        <v>830</v>
      </c>
      <c r="I17" s="68" t="s">
        <v>831</v>
      </c>
      <c r="J17" s="68" t="s">
        <v>832</v>
      </c>
      <c r="K17" s="69" t="s">
        <v>833</v>
      </c>
      <c r="L17" s="66" t="s">
        <v>834</v>
      </c>
      <c r="M17" s="67" t="s">
        <v>835</v>
      </c>
      <c r="N17" s="67" t="s">
        <v>836</v>
      </c>
      <c r="O17" s="67" t="s">
        <v>837</v>
      </c>
      <c r="P17" s="68" t="s">
        <v>838</v>
      </c>
      <c r="Q17" s="61"/>
      <c r="R17" s="68" t="s">
        <v>839</v>
      </c>
      <c r="S17" s="68" t="s">
        <v>840</v>
      </c>
      <c r="T17" s="68" t="s">
        <v>841</v>
      </c>
      <c r="U17" s="68" t="s">
        <v>842</v>
      </c>
      <c r="V17" s="68" t="s">
        <v>843</v>
      </c>
      <c r="W17" s="69" t="s">
        <v>844</v>
      </c>
      <c r="X17" s="66" t="s">
        <v>845</v>
      </c>
      <c r="Y17" s="68" t="s">
        <v>846</v>
      </c>
      <c r="Z17" s="68" t="s">
        <v>847</v>
      </c>
      <c r="AA17" s="68" t="s">
        <v>848</v>
      </c>
      <c r="AB17" s="68" t="s">
        <v>849</v>
      </c>
      <c r="AC17" s="68" t="s">
        <v>850</v>
      </c>
      <c r="AD17" s="68" t="s">
        <v>851</v>
      </c>
      <c r="AE17" s="69" t="s">
        <v>852</v>
      </c>
      <c r="AF17" s="66" t="s">
        <v>853</v>
      </c>
      <c r="AG17" s="68" t="s">
        <v>854</v>
      </c>
      <c r="AH17" s="68" t="s">
        <v>855</v>
      </c>
      <c r="AI17" s="68" t="s">
        <v>856</v>
      </c>
      <c r="AJ17" s="68" t="s">
        <v>857</v>
      </c>
      <c r="AK17" s="68" t="s">
        <v>858</v>
      </c>
      <c r="AL17" s="68" t="s">
        <v>859</v>
      </c>
      <c r="AM17" s="68" t="s">
        <v>860</v>
      </c>
      <c r="AN17" s="69" t="s">
        <v>861</v>
      </c>
      <c r="AO17" s="66" t="s">
        <v>862</v>
      </c>
      <c r="AP17" s="68" t="s">
        <v>863</v>
      </c>
      <c r="AQ17" s="68" t="s">
        <v>864</v>
      </c>
      <c r="AR17" s="68" t="s">
        <v>865</v>
      </c>
      <c r="AS17" s="68" t="s">
        <v>866</v>
      </c>
      <c r="AT17" s="69" t="s">
        <v>867</v>
      </c>
      <c r="AU17" s="66" t="s">
        <v>868</v>
      </c>
      <c r="AV17" s="69" t="s">
        <v>869</v>
      </c>
      <c r="AW17" s="66" t="n">
        <v>17</v>
      </c>
      <c r="AX17" s="65" t="s">
        <v>822</v>
      </c>
      <c r="AY17" s="87"/>
      <c r="AZ17" s="87"/>
      <c r="BA17" s="57" t="n">
        <v>24</v>
      </c>
      <c r="BB17" s="74" t="n">
        <v>9</v>
      </c>
      <c r="BC17" s="122" t="s">
        <v>870</v>
      </c>
      <c r="BD17" s="76" t="n">
        <v>0</v>
      </c>
      <c r="BE17" s="76" t="n">
        <f aca="false">_xlfn.RANK.EQ(BD17,$BD$9:$BD$48,0)</f>
        <v>1</v>
      </c>
    </row>
    <row r="18" customFormat="false" ht="18" hidden="false" customHeight="true" outlineLevel="0" collapsed="false">
      <c r="A18" s="60" t="s">
        <v>871</v>
      </c>
      <c r="B18" s="62" t="s">
        <v>872</v>
      </c>
      <c r="C18" s="62" t="s">
        <v>873</v>
      </c>
      <c r="D18" s="62" t="s">
        <v>874</v>
      </c>
      <c r="E18" s="62" t="s">
        <v>875</v>
      </c>
      <c r="F18" s="62" t="s">
        <v>876</v>
      </c>
      <c r="G18" s="62" t="s">
        <v>877</v>
      </c>
      <c r="H18" s="62" t="s">
        <v>878</v>
      </c>
      <c r="I18" s="62" t="s">
        <v>879</v>
      </c>
      <c r="J18" s="62" t="s">
        <v>880</v>
      </c>
      <c r="K18" s="63" t="s">
        <v>881</v>
      </c>
      <c r="L18" s="60" t="s">
        <v>882</v>
      </c>
      <c r="M18" s="62" t="s">
        <v>883</v>
      </c>
      <c r="N18" s="62" t="s">
        <v>884</v>
      </c>
      <c r="O18" s="62" t="s">
        <v>885</v>
      </c>
      <c r="P18" s="62" t="s">
        <v>886</v>
      </c>
      <c r="Q18" s="62" t="s">
        <v>887</v>
      </c>
      <c r="R18" s="61"/>
      <c r="S18" s="62" t="s">
        <v>888</v>
      </c>
      <c r="T18" s="62" t="s">
        <v>889</v>
      </c>
      <c r="U18" s="62" t="s">
        <v>890</v>
      </c>
      <c r="V18" s="62" t="s">
        <v>891</v>
      </c>
      <c r="W18" s="63" t="s">
        <v>892</v>
      </c>
      <c r="X18" s="60" t="s">
        <v>893</v>
      </c>
      <c r="Y18" s="62" t="s">
        <v>894</v>
      </c>
      <c r="Z18" s="62" t="s">
        <v>895</v>
      </c>
      <c r="AA18" s="62" t="s">
        <v>896</v>
      </c>
      <c r="AB18" s="62" t="s">
        <v>897</v>
      </c>
      <c r="AC18" s="62" t="s">
        <v>898</v>
      </c>
      <c r="AD18" s="62" t="s">
        <v>899</v>
      </c>
      <c r="AE18" s="63" t="s">
        <v>900</v>
      </c>
      <c r="AF18" s="60" t="s">
        <v>901</v>
      </c>
      <c r="AG18" s="62" t="s">
        <v>902</v>
      </c>
      <c r="AH18" s="62" t="s">
        <v>903</v>
      </c>
      <c r="AI18" s="62" t="s">
        <v>904</v>
      </c>
      <c r="AJ18" s="62" t="s">
        <v>905</v>
      </c>
      <c r="AK18" s="62" t="s">
        <v>906</v>
      </c>
      <c r="AL18" s="62" t="s">
        <v>907</v>
      </c>
      <c r="AM18" s="62" t="s">
        <v>908</v>
      </c>
      <c r="AN18" s="63" t="s">
        <v>909</v>
      </c>
      <c r="AO18" s="60" t="s">
        <v>910</v>
      </c>
      <c r="AP18" s="62" t="s">
        <v>911</v>
      </c>
      <c r="AQ18" s="62" t="s">
        <v>912</v>
      </c>
      <c r="AR18" s="62" t="s">
        <v>913</v>
      </c>
      <c r="AS18" s="62" t="s">
        <v>914</v>
      </c>
      <c r="AT18" s="63" t="s">
        <v>915</v>
      </c>
      <c r="AU18" s="60" t="s">
        <v>916</v>
      </c>
      <c r="AV18" s="63" t="s">
        <v>917</v>
      </c>
      <c r="AW18" s="60" t="n">
        <v>18</v>
      </c>
      <c r="AX18" s="59" t="s">
        <v>23</v>
      </c>
      <c r="AY18" s="87"/>
      <c r="AZ18" s="87"/>
      <c r="BA18" s="57" t="n">
        <v>3</v>
      </c>
      <c r="BB18" s="74" t="n">
        <v>10</v>
      </c>
      <c r="BC18" s="122" t="s">
        <v>918</v>
      </c>
      <c r="BD18" s="76" t="n">
        <v>0</v>
      </c>
      <c r="BE18" s="76" t="n">
        <f aca="false">_xlfn.RANK.EQ(BD18,$BD$9:$BD$48,0)</f>
        <v>1</v>
      </c>
    </row>
    <row r="19" customFormat="false" ht="18" hidden="false" customHeight="true" outlineLevel="0" collapsed="false">
      <c r="A19" s="66" t="s">
        <v>919</v>
      </c>
      <c r="B19" s="67" t="s">
        <v>920</v>
      </c>
      <c r="C19" s="68" t="s">
        <v>921</v>
      </c>
      <c r="D19" s="67" t="s">
        <v>922</v>
      </c>
      <c r="E19" s="67" t="s">
        <v>923</v>
      </c>
      <c r="F19" s="68" t="s">
        <v>924</v>
      </c>
      <c r="G19" s="68" t="s">
        <v>925</v>
      </c>
      <c r="H19" s="68" t="s">
        <v>926</v>
      </c>
      <c r="I19" s="68" t="s">
        <v>927</v>
      </c>
      <c r="J19" s="68" t="s">
        <v>928</v>
      </c>
      <c r="K19" s="69" t="s">
        <v>929</v>
      </c>
      <c r="L19" s="66" t="s">
        <v>930</v>
      </c>
      <c r="M19" s="68" t="s">
        <v>931</v>
      </c>
      <c r="N19" s="68" t="s">
        <v>932</v>
      </c>
      <c r="O19" s="68" t="s">
        <v>933</v>
      </c>
      <c r="P19" s="68" t="s">
        <v>934</v>
      </c>
      <c r="Q19" s="67" t="s">
        <v>935</v>
      </c>
      <c r="R19" s="67" t="s">
        <v>936</v>
      </c>
      <c r="S19" s="61"/>
      <c r="T19" s="68" t="s">
        <v>937</v>
      </c>
      <c r="U19" s="68" t="s">
        <v>938</v>
      </c>
      <c r="V19" s="68" t="s">
        <v>939</v>
      </c>
      <c r="W19" s="69" t="s">
        <v>940</v>
      </c>
      <c r="X19" s="66" t="s">
        <v>941</v>
      </c>
      <c r="Y19" s="68" t="s">
        <v>942</v>
      </c>
      <c r="Z19" s="68" t="s">
        <v>943</v>
      </c>
      <c r="AA19" s="68" t="s">
        <v>944</v>
      </c>
      <c r="AB19" s="68" t="s">
        <v>945</v>
      </c>
      <c r="AC19" s="68" t="s">
        <v>946</v>
      </c>
      <c r="AD19" s="68" t="s">
        <v>947</v>
      </c>
      <c r="AE19" s="69" t="s">
        <v>948</v>
      </c>
      <c r="AF19" s="66" t="s">
        <v>949</v>
      </c>
      <c r="AG19" s="68" t="s">
        <v>950</v>
      </c>
      <c r="AH19" s="68" t="s">
        <v>951</v>
      </c>
      <c r="AI19" s="68" t="s">
        <v>952</v>
      </c>
      <c r="AJ19" s="68" t="s">
        <v>953</v>
      </c>
      <c r="AK19" s="68" t="s">
        <v>954</v>
      </c>
      <c r="AL19" s="68" t="s">
        <v>955</v>
      </c>
      <c r="AM19" s="68" t="s">
        <v>956</v>
      </c>
      <c r="AN19" s="69" t="s">
        <v>957</v>
      </c>
      <c r="AO19" s="66" t="s">
        <v>958</v>
      </c>
      <c r="AP19" s="68" t="s">
        <v>959</v>
      </c>
      <c r="AQ19" s="68" t="s">
        <v>960</v>
      </c>
      <c r="AR19" s="68" t="s">
        <v>961</v>
      </c>
      <c r="AS19" s="68" t="s">
        <v>962</v>
      </c>
      <c r="AT19" s="69" t="s">
        <v>963</v>
      </c>
      <c r="AU19" s="66" t="s">
        <v>964</v>
      </c>
      <c r="AV19" s="69" t="s">
        <v>965</v>
      </c>
      <c r="AW19" s="66" t="n">
        <v>19</v>
      </c>
      <c r="AX19" s="65" t="s">
        <v>24</v>
      </c>
      <c r="AY19" s="87"/>
      <c r="AZ19" s="87"/>
      <c r="BA19" s="57" t="n">
        <v>11</v>
      </c>
      <c r="BB19" s="74" t="n">
        <v>11</v>
      </c>
      <c r="BC19" s="122" t="s">
        <v>966</v>
      </c>
      <c r="BD19" s="76" t="n">
        <v>0</v>
      </c>
      <c r="BE19" s="76" t="n">
        <f aca="false">_xlfn.RANK.EQ(BD19,$BD$9:$BD$48,0)</f>
        <v>1</v>
      </c>
    </row>
    <row r="20" customFormat="false" ht="18" hidden="false" customHeight="true" outlineLevel="0" collapsed="false">
      <c r="A20" s="60" t="s">
        <v>967</v>
      </c>
      <c r="B20" s="62" t="s">
        <v>968</v>
      </c>
      <c r="C20" s="62" t="s">
        <v>969</v>
      </c>
      <c r="D20" s="62" t="s">
        <v>970</v>
      </c>
      <c r="E20" s="62" t="s">
        <v>971</v>
      </c>
      <c r="F20" s="62" t="s">
        <v>972</v>
      </c>
      <c r="G20" s="62" t="s">
        <v>973</v>
      </c>
      <c r="H20" s="62" t="s">
        <v>974</v>
      </c>
      <c r="I20" s="62" t="s">
        <v>975</v>
      </c>
      <c r="J20" s="62" t="s">
        <v>976</v>
      </c>
      <c r="K20" s="63" t="s">
        <v>977</v>
      </c>
      <c r="L20" s="60" t="s">
        <v>978</v>
      </c>
      <c r="M20" s="62" t="s">
        <v>979</v>
      </c>
      <c r="N20" s="62" t="s">
        <v>980</v>
      </c>
      <c r="O20" s="62" t="s">
        <v>981</v>
      </c>
      <c r="P20" s="62" t="s">
        <v>982</v>
      </c>
      <c r="Q20" s="62" t="s">
        <v>983</v>
      </c>
      <c r="R20" s="62" t="s">
        <v>984</v>
      </c>
      <c r="S20" s="62" t="s">
        <v>985</v>
      </c>
      <c r="T20" s="61"/>
      <c r="U20" s="62" t="s">
        <v>986</v>
      </c>
      <c r="V20" s="62" t="s">
        <v>987</v>
      </c>
      <c r="W20" s="63" t="s">
        <v>988</v>
      </c>
      <c r="X20" s="60" t="s">
        <v>989</v>
      </c>
      <c r="Y20" s="62" t="s">
        <v>990</v>
      </c>
      <c r="Z20" s="62" t="s">
        <v>991</v>
      </c>
      <c r="AA20" s="62" t="s">
        <v>992</v>
      </c>
      <c r="AB20" s="62" t="s">
        <v>993</v>
      </c>
      <c r="AC20" s="62" t="s">
        <v>994</v>
      </c>
      <c r="AD20" s="62" t="s">
        <v>995</v>
      </c>
      <c r="AE20" s="63" t="s">
        <v>996</v>
      </c>
      <c r="AF20" s="60" t="s">
        <v>997</v>
      </c>
      <c r="AG20" s="62" t="s">
        <v>998</v>
      </c>
      <c r="AH20" s="62" t="s">
        <v>999</v>
      </c>
      <c r="AI20" s="62" t="s">
        <v>1000</v>
      </c>
      <c r="AJ20" s="62" t="s">
        <v>1001</v>
      </c>
      <c r="AK20" s="62" t="s">
        <v>1002</v>
      </c>
      <c r="AL20" s="62" t="s">
        <v>1003</v>
      </c>
      <c r="AM20" s="62" t="s">
        <v>1004</v>
      </c>
      <c r="AN20" s="63" t="s">
        <v>1005</v>
      </c>
      <c r="AO20" s="60" t="s">
        <v>1006</v>
      </c>
      <c r="AP20" s="62" t="s">
        <v>1007</v>
      </c>
      <c r="AQ20" s="62" t="s">
        <v>1008</v>
      </c>
      <c r="AR20" s="62" t="s">
        <v>1009</v>
      </c>
      <c r="AS20" s="62" t="s">
        <v>1010</v>
      </c>
      <c r="AT20" s="63" t="s">
        <v>1011</v>
      </c>
      <c r="AU20" s="60" t="s">
        <v>1012</v>
      </c>
      <c r="AV20" s="63" t="s">
        <v>1013</v>
      </c>
      <c r="AW20" s="60" t="n">
        <v>20</v>
      </c>
      <c r="AX20" s="59" t="s">
        <v>25</v>
      </c>
      <c r="AY20" s="87"/>
      <c r="AZ20" s="87"/>
      <c r="BA20" s="57" t="n">
        <v>25</v>
      </c>
      <c r="BB20" s="74" t="n">
        <v>12</v>
      </c>
      <c r="BC20" s="122" t="s">
        <v>1014</v>
      </c>
      <c r="BD20" s="76" t="n">
        <v>0</v>
      </c>
      <c r="BE20" s="76" t="n">
        <f aca="false">_xlfn.RANK.EQ(BD20,$BD$9:$BD$48,0)</f>
        <v>1</v>
      </c>
    </row>
    <row r="21" customFormat="false" ht="18" hidden="false" customHeight="true" outlineLevel="0" collapsed="false">
      <c r="A21" s="66" t="s">
        <v>1015</v>
      </c>
      <c r="B21" s="67" t="s">
        <v>1016</v>
      </c>
      <c r="C21" s="68" t="s">
        <v>1017</v>
      </c>
      <c r="D21" s="67" t="s">
        <v>1018</v>
      </c>
      <c r="E21" s="67" t="s">
        <v>1019</v>
      </c>
      <c r="F21" s="68" t="s">
        <v>1020</v>
      </c>
      <c r="G21" s="68" t="s">
        <v>1021</v>
      </c>
      <c r="H21" s="68" t="s">
        <v>1022</v>
      </c>
      <c r="I21" s="68" t="s">
        <v>1023</v>
      </c>
      <c r="J21" s="68" t="s">
        <v>1024</v>
      </c>
      <c r="K21" s="69" t="s">
        <v>1025</v>
      </c>
      <c r="L21" s="66" t="s">
        <v>1026</v>
      </c>
      <c r="M21" s="68" t="s">
        <v>1027</v>
      </c>
      <c r="N21" s="68" t="s">
        <v>1028</v>
      </c>
      <c r="O21" s="68" t="s">
        <v>1029</v>
      </c>
      <c r="P21" s="68" t="s">
        <v>1030</v>
      </c>
      <c r="Q21" s="68" t="s">
        <v>1031</v>
      </c>
      <c r="R21" s="68" t="s">
        <v>1032</v>
      </c>
      <c r="S21" s="67" t="s">
        <v>1033</v>
      </c>
      <c r="T21" s="67" t="s">
        <v>1034</v>
      </c>
      <c r="U21" s="61"/>
      <c r="V21" s="68" t="s">
        <v>1035</v>
      </c>
      <c r="W21" s="69" t="s">
        <v>1036</v>
      </c>
      <c r="X21" s="66" t="s">
        <v>1037</v>
      </c>
      <c r="Y21" s="68" t="s">
        <v>1038</v>
      </c>
      <c r="Z21" s="68" t="s">
        <v>1039</v>
      </c>
      <c r="AA21" s="68" t="s">
        <v>1040</v>
      </c>
      <c r="AB21" s="68" t="s">
        <v>1041</v>
      </c>
      <c r="AC21" s="68" t="s">
        <v>1042</v>
      </c>
      <c r="AD21" s="68" t="s">
        <v>1043</v>
      </c>
      <c r="AE21" s="69" t="s">
        <v>1044</v>
      </c>
      <c r="AF21" s="66" t="s">
        <v>1045</v>
      </c>
      <c r="AG21" s="68" t="s">
        <v>1046</v>
      </c>
      <c r="AH21" s="68" t="s">
        <v>1047</v>
      </c>
      <c r="AI21" s="68" t="s">
        <v>1048</v>
      </c>
      <c r="AJ21" s="68" t="s">
        <v>1049</v>
      </c>
      <c r="AK21" s="68" t="s">
        <v>1050</v>
      </c>
      <c r="AL21" s="68" t="s">
        <v>1051</v>
      </c>
      <c r="AM21" s="68" t="s">
        <v>1052</v>
      </c>
      <c r="AN21" s="69" t="s">
        <v>1053</v>
      </c>
      <c r="AO21" s="66" t="s">
        <v>1054</v>
      </c>
      <c r="AP21" s="68" t="s">
        <v>1055</v>
      </c>
      <c r="AQ21" s="68" t="s">
        <v>1056</v>
      </c>
      <c r="AR21" s="68" t="s">
        <v>1057</v>
      </c>
      <c r="AS21" s="68" t="s">
        <v>1058</v>
      </c>
      <c r="AT21" s="69" t="s">
        <v>1059</v>
      </c>
      <c r="AU21" s="66" t="s">
        <v>1060</v>
      </c>
      <c r="AV21" s="69" t="s">
        <v>1061</v>
      </c>
      <c r="AW21" s="66" t="n">
        <v>21</v>
      </c>
      <c r="AX21" s="65" t="s">
        <v>26</v>
      </c>
      <c r="AY21" s="87"/>
      <c r="AZ21" s="87"/>
      <c r="BA21" s="57" t="n">
        <v>27</v>
      </c>
      <c r="BB21" s="74" t="n">
        <v>13</v>
      </c>
      <c r="BC21" s="122" t="s">
        <v>1062</v>
      </c>
      <c r="BD21" s="76" t="n">
        <v>0</v>
      </c>
      <c r="BE21" s="76" t="n">
        <f aca="false">_xlfn.RANK.EQ(BD21,$BD$9:$BD$48,0)</f>
        <v>1</v>
      </c>
      <c r="BH21" s="96"/>
      <c r="BI21" s="96"/>
      <c r="BJ21" s="96"/>
    </row>
    <row r="22" customFormat="false" ht="18" hidden="false" customHeight="true" outlineLevel="0" collapsed="false">
      <c r="A22" s="60" t="s">
        <v>1063</v>
      </c>
      <c r="B22" s="62" t="s">
        <v>1064</v>
      </c>
      <c r="C22" s="62" t="s">
        <v>1065</v>
      </c>
      <c r="D22" s="62" t="s">
        <v>1066</v>
      </c>
      <c r="E22" s="62" t="s">
        <v>1067</v>
      </c>
      <c r="F22" s="62" t="s">
        <v>1068</v>
      </c>
      <c r="G22" s="62" t="s">
        <v>1069</v>
      </c>
      <c r="H22" s="62" t="s">
        <v>1070</v>
      </c>
      <c r="I22" s="62" t="s">
        <v>1071</v>
      </c>
      <c r="J22" s="62" t="s">
        <v>1072</v>
      </c>
      <c r="K22" s="63" t="s">
        <v>1073</v>
      </c>
      <c r="L22" s="60" t="s">
        <v>1074</v>
      </c>
      <c r="M22" s="62" t="s">
        <v>1075</v>
      </c>
      <c r="N22" s="62" t="s">
        <v>1076</v>
      </c>
      <c r="O22" s="62" t="s">
        <v>1077</v>
      </c>
      <c r="P22" s="62" t="s">
        <v>1078</v>
      </c>
      <c r="Q22" s="62" t="s">
        <v>1079</v>
      </c>
      <c r="R22" s="62" t="s">
        <v>1080</v>
      </c>
      <c r="S22" s="62" t="s">
        <v>1081</v>
      </c>
      <c r="T22" s="62" t="s">
        <v>1082</v>
      </c>
      <c r="U22" s="62" t="s">
        <v>1083</v>
      </c>
      <c r="V22" s="61"/>
      <c r="W22" s="63" t="s">
        <v>1084</v>
      </c>
      <c r="X22" s="60" t="s">
        <v>1085</v>
      </c>
      <c r="Y22" s="62" t="s">
        <v>1086</v>
      </c>
      <c r="Z22" s="62" t="s">
        <v>1087</v>
      </c>
      <c r="AA22" s="62" t="s">
        <v>1088</v>
      </c>
      <c r="AB22" s="62" t="s">
        <v>1089</v>
      </c>
      <c r="AC22" s="62" t="s">
        <v>1090</v>
      </c>
      <c r="AD22" s="62" t="s">
        <v>1091</v>
      </c>
      <c r="AE22" s="63" t="s">
        <v>1092</v>
      </c>
      <c r="AF22" s="60" t="s">
        <v>1093</v>
      </c>
      <c r="AG22" s="62" t="s">
        <v>1094</v>
      </c>
      <c r="AH22" s="62" t="s">
        <v>1095</v>
      </c>
      <c r="AI22" s="62" t="s">
        <v>1096</v>
      </c>
      <c r="AJ22" s="62" t="s">
        <v>1097</v>
      </c>
      <c r="AK22" s="62" t="s">
        <v>1098</v>
      </c>
      <c r="AL22" s="62" t="s">
        <v>1099</v>
      </c>
      <c r="AM22" s="62" t="s">
        <v>1100</v>
      </c>
      <c r="AN22" s="63" t="s">
        <v>1101</v>
      </c>
      <c r="AO22" s="60" t="s">
        <v>1102</v>
      </c>
      <c r="AP22" s="62" t="s">
        <v>1103</v>
      </c>
      <c r="AQ22" s="62" t="s">
        <v>1104</v>
      </c>
      <c r="AR22" s="62" t="s">
        <v>1105</v>
      </c>
      <c r="AS22" s="62" t="s">
        <v>1106</v>
      </c>
      <c r="AT22" s="63" t="s">
        <v>1107</v>
      </c>
      <c r="AU22" s="60" t="s">
        <v>1108</v>
      </c>
      <c r="AV22" s="63" t="s">
        <v>1109</v>
      </c>
      <c r="AW22" s="60" t="n">
        <v>22</v>
      </c>
      <c r="AX22" s="59" t="s">
        <v>27</v>
      </c>
      <c r="AY22" s="87"/>
      <c r="AZ22" s="87"/>
      <c r="BA22" s="57" t="n">
        <v>9</v>
      </c>
      <c r="BB22" s="74" t="n">
        <v>14</v>
      </c>
      <c r="BC22" s="122" t="s">
        <v>1110</v>
      </c>
      <c r="BD22" s="76" t="n">
        <v>0</v>
      </c>
      <c r="BE22" s="76" t="n">
        <f aca="false">_xlfn.RANK.EQ(BD22,$BD$9:$BD$48,0)</f>
        <v>1</v>
      </c>
      <c r="BH22" s="96"/>
      <c r="BI22" s="96"/>
      <c r="BJ22" s="96"/>
    </row>
    <row r="23" customFormat="false" ht="18" hidden="false" customHeight="true" outlineLevel="0" collapsed="false">
      <c r="A23" s="84" t="s">
        <v>1112</v>
      </c>
      <c r="B23" s="97" t="s">
        <v>1113</v>
      </c>
      <c r="C23" s="85" t="s">
        <v>1114</v>
      </c>
      <c r="D23" s="97" t="s">
        <v>1115</v>
      </c>
      <c r="E23" s="97" t="s">
        <v>1116</v>
      </c>
      <c r="F23" s="85" t="s">
        <v>1117</v>
      </c>
      <c r="G23" s="85" t="s">
        <v>1118</v>
      </c>
      <c r="H23" s="85" t="s">
        <v>1119</v>
      </c>
      <c r="I23" s="85" t="s">
        <v>1120</v>
      </c>
      <c r="J23" s="85" t="s">
        <v>1121</v>
      </c>
      <c r="K23" s="86" t="s">
        <v>1122</v>
      </c>
      <c r="L23" s="84" t="s">
        <v>1123</v>
      </c>
      <c r="M23" s="85" t="s">
        <v>1124</v>
      </c>
      <c r="N23" s="85" t="s">
        <v>1125</v>
      </c>
      <c r="O23" s="85" t="s">
        <v>1126</v>
      </c>
      <c r="P23" s="85" t="s">
        <v>1127</v>
      </c>
      <c r="Q23" s="85" t="s">
        <v>1128</v>
      </c>
      <c r="R23" s="85" t="s">
        <v>1129</v>
      </c>
      <c r="S23" s="85" t="s">
        <v>1130</v>
      </c>
      <c r="T23" s="85" t="s">
        <v>1131</v>
      </c>
      <c r="U23" s="97" t="s">
        <v>1132</v>
      </c>
      <c r="V23" s="85" t="s">
        <v>1133</v>
      </c>
      <c r="W23" s="98"/>
      <c r="X23" s="84" t="s">
        <v>1134</v>
      </c>
      <c r="Y23" s="85" t="s">
        <v>1135</v>
      </c>
      <c r="Z23" s="85" t="s">
        <v>1136</v>
      </c>
      <c r="AA23" s="85" t="s">
        <v>1137</v>
      </c>
      <c r="AB23" s="85" t="s">
        <v>1138</v>
      </c>
      <c r="AC23" s="85" t="s">
        <v>1139</v>
      </c>
      <c r="AD23" s="85" t="s">
        <v>1140</v>
      </c>
      <c r="AE23" s="86" t="s">
        <v>1141</v>
      </c>
      <c r="AF23" s="84" t="s">
        <v>1142</v>
      </c>
      <c r="AG23" s="85" t="s">
        <v>1143</v>
      </c>
      <c r="AH23" s="85" t="s">
        <v>1144</v>
      </c>
      <c r="AI23" s="85" t="s">
        <v>1145</v>
      </c>
      <c r="AJ23" s="85" t="s">
        <v>1146</v>
      </c>
      <c r="AK23" s="85" t="s">
        <v>1147</v>
      </c>
      <c r="AL23" s="85" t="s">
        <v>1148</v>
      </c>
      <c r="AM23" s="85" t="s">
        <v>1149</v>
      </c>
      <c r="AN23" s="86" t="s">
        <v>1150</v>
      </c>
      <c r="AO23" s="84" t="s">
        <v>1151</v>
      </c>
      <c r="AP23" s="85" t="s">
        <v>1152</v>
      </c>
      <c r="AQ23" s="85" t="s">
        <v>1153</v>
      </c>
      <c r="AR23" s="85" t="s">
        <v>1154</v>
      </c>
      <c r="AS23" s="85" t="s">
        <v>1155</v>
      </c>
      <c r="AT23" s="86" t="s">
        <v>1156</v>
      </c>
      <c r="AU23" s="84" t="s">
        <v>1157</v>
      </c>
      <c r="AV23" s="86" t="s">
        <v>1158</v>
      </c>
      <c r="AW23" s="84" t="n">
        <v>23</v>
      </c>
      <c r="AX23" s="79" t="s">
        <v>1111</v>
      </c>
      <c r="AY23" s="87"/>
      <c r="AZ23" s="87"/>
      <c r="BA23" s="57" t="n">
        <v>2</v>
      </c>
      <c r="BB23" s="74" t="n">
        <v>15</v>
      </c>
      <c r="BC23" s="122" t="s">
        <v>1159</v>
      </c>
      <c r="BD23" s="76" t="n">
        <v>0</v>
      </c>
      <c r="BE23" s="76" t="n">
        <f aca="false">_xlfn.RANK.EQ(BD23,$BD$9:$BD$48,0)</f>
        <v>1</v>
      </c>
      <c r="BH23" s="96"/>
      <c r="BI23" s="99"/>
      <c r="BJ23" s="96"/>
    </row>
    <row r="24" customFormat="false" ht="18" hidden="false" customHeight="true" outlineLevel="0" collapsed="false">
      <c r="A24" s="88" t="s">
        <v>1160</v>
      </c>
      <c r="B24" s="90" t="s">
        <v>1161</v>
      </c>
      <c r="C24" s="90" t="s">
        <v>1162</v>
      </c>
      <c r="D24" s="90" t="s">
        <v>1163</v>
      </c>
      <c r="E24" s="90" t="s">
        <v>1164</v>
      </c>
      <c r="F24" s="90" t="s">
        <v>1165</v>
      </c>
      <c r="G24" s="90" t="s">
        <v>1166</v>
      </c>
      <c r="H24" s="90" t="s">
        <v>1167</v>
      </c>
      <c r="I24" s="90" t="s">
        <v>1168</v>
      </c>
      <c r="J24" s="90" t="s">
        <v>1169</v>
      </c>
      <c r="K24" s="91" t="s">
        <v>1170</v>
      </c>
      <c r="L24" s="88" t="s">
        <v>1171</v>
      </c>
      <c r="M24" s="90" t="s">
        <v>1172</v>
      </c>
      <c r="N24" s="90" t="s">
        <v>1173</v>
      </c>
      <c r="O24" s="90" t="s">
        <v>1174</v>
      </c>
      <c r="P24" s="90" t="s">
        <v>1175</v>
      </c>
      <c r="Q24" s="90" t="s">
        <v>1176</v>
      </c>
      <c r="R24" s="90" t="s">
        <v>1177</v>
      </c>
      <c r="S24" s="90" t="s">
        <v>1178</v>
      </c>
      <c r="T24" s="90" t="s">
        <v>1179</v>
      </c>
      <c r="U24" s="90" t="s">
        <v>1180</v>
      </c>
      <c r="V24" s="90" t="s">
        <v>1181</v>
      </c>
      <c r="W24" s="91" t="s">
        <v>1182</v>
      </c>
      <c r="X24" s="53"/>
      <c r="Y24" s="90" t="s">
        <v>1183</v>
      </c>
      <c r="Z24" s="90" t="s">
        <v>1184</v>
      </c>
      <c r="AA24" s="90" t="s">
        <v>1185</v>
      </c>
      <c r="AB24" s="90" t="s">
        <v>1186</v>
      </c>
      <c r="AC24" s="90" t="s">
        <v>1187</v>
      </c>
      <c r="AD24" s="90" t="s">
        <v>1188</v>
      </c>
      <c r="AE24" s="91" t="s">
        <v>1189</v>
      </c>
      <c r="AF24" s="88" t="s">
        <v>1190</v>
      </c>
      <c r="AG24" s="90" t="s">
        <v>1191</v>
      </c>
      <c r="AH24" s="90" t="s">
        <v>1192</v>
      </c>
      <c r="AI24" s="90" t="s">
        <v>1193</v>
      </c>
      <c r="AJ24" s="90" t="s">
        <v>1194</v>
      </c>
      <c r="AK24" s="90" t="s">
        <v>1195</v>
      </c>
      <c r="AL24" s="90" t="s">
        <v>1196</v>
      </c>
      <c r="AM24" s="90" t="s">
        <v>1197</v>
      </c>
      <c r="AN24" s="91" t="s">
        <v>1198</v>
      </c>
      <c r="AO24" s="88" t="s">
        <v>1199</v>
      </c>
      <c r="AP24" s="90" t="s">
        <v>1200</v>
      </c>
      <c r="AQ24" s="90" t="s">
        <v>1201</v>
      </c>
      <c r="AR24" s="90" t="s">
        <v>1202</v>
      </c>
      <c r="AS24" s="90" t="s">
        <v>1203</v>
      </c>
      <c r="AT24" s="91" t="s">
        <v>1204</v>
      </c>
      <c r="AU24" s="88" t="s">
        <v>1205</v>
      </c>
      <c r="AV24" s="91" t="s">
        <v>1206</v>
      </c>
      <c r="AW24" s="88" t="n">
        <v>24</v>
      </c>
      <c r="AX24" s="89" t="s">
        <v>29</v>
      </c>
      <c r="AY24" s="100" t="s">
        <v>2</v>
      </c>
      <c r="AZ24" s="100"/>
      <c r="BA24" s="57" t="n">
        <v>12</v>
      </c>
      <c r="BB24" s="74" t="n">
        <v>16</v>
      </c>
      <c r="BC24" s="122" t="s">
        <v>1207</v>
      </c>
      <c r="BD24" s="76" t="n">
        <v>0</v>
      </c>
      <c r="BE24" s="76" t="n">
        <f aca="false">_xlfn.RANK.EQ(BD24,$BD$9:$BD$48,0)</f>
        <v>1</v>
      </c>
      <c r="BH24" s="96"/>
      <c r="BI24" s="96"/>
      <c r="BJ24" s="96"/>
    </row>
    <row r="25" customFormat="false" ht="18" hidden="false" customHeight="true" outlineLevel="0" collapsed="false">
      <c r="A25" s="66" t="s">
        <v>1208</v>
      </c>
      <c r="B25" s="68" t="s">
        <v>1209</v>
      </c>
      <c r="C25" s="68" t="s">
        <v>1210</v>
      </c>
      <c r="D25" s="68" t="s">
        <v>1211</v>
      </c>
      <c r="E25" s="68" t="s">
        <v>1212</v>
      </c>
      <c r="F25" s="68" t="s">
        <v>1213</v>
      </c>
      <c r="G25" s="68" t="s">
        <v>1214</v>
      </c>
      <c r="H25" s="68" t="s">
        <v>1215</v>
      </c>
      <c r="I25" s="68" t="s">
        <v>1216</v>
      </c>
      <c r="J25" s="68" t="s">
        <v>1217</v>
      </c>
      <c r="K25" s="69" t="s">
        <v>1218</v>
      </c>
      <c r="L25" s="66" t="s">
        <v>1219</v>
      </c>
      <c r="M25" s="68" t="s">
        <v>1220</v>
      </c>
      <c r="N25" s="68" t="s">
        <v>1221</v>
      </c>
      <c r="O25" s="68" t="s">
        <v>1222</v>
      </c>
      <c r="P25" s="68" t="s">
        <v>1223</v>
      </c>
      <c r="Q25" s="68" t="s">
        <v>1224</v>
      </c>
      <c r="R25" s="68" t="s">
        <v>1225</v>
      </c>
      <c r="S25" s="68" t="s">
        <v>1226</v>
      </c>
      <c r="T25" s="68" t="s">
        <v>1227</v>
      </c>
      <c r="U25" s="68" t="s">
        <v>1228</v>
      </c>
      <c r="V25" s="67" t="s">
        <v>1229</v>
      </c>
      <c r="W25" s="92" t="s">
        <v>1230</v>
      </c>
      <c r="X25" s="64" t="s">
        <v>1231</v>
      </c>
      <c r="Y25" s="61"/>
      <c r="Z25" s="67" t="s">
        <v>1232</v>
      </c>
      <c r="AA25" s="67" t="s">
        <v>1233</v>
      </c>
      <c r="AB25" s="67" t="s">
        <v>1234</v>
      </c>
      <c r="AC25" s="67" t="s">
        <v>1235</v>
      </c>
      <c r="AD25" s="67" t="s">
        <v>1236</v>
      </c>
      <c r="AE25" s="92" t="s">
        <v>1237</v>
      </c>
      <c r="AF25" s="64" t="s">
        <v>1238</v>
      </c>
      <c r="AG25" s="67" t="s">
        <v>1239</v>
      </c>
      <c r="AH25" s="67" t="s">
        <v>1240</v>
      </c>
      <c r="AI25" s="67" t="s">
        <v>1241</v>
      </c>
      <c r="AJ25" s="67" t="s">
        <v>1242</v>
      </c>
      <c r="AK25" s="67" t="s">
        <v>1243</v>
      </c>
      <c r="AL25" s="67" t="s">
        <v>1244</v>
      </c>
      <c r="AM25" s="67" t="s">
        <v>1245</v>
      </c>
      <c r="AN25" s="92" t="s">
        <v>1246</v>
      </c>
      <c r="AO25" s="64" t="s">
        <v>1247</v>
      </c>
      <c r="AP25" s="67" t="s">
        <v>1248</v>
      </c>
      <c r="AQ25" s="67" t="s">
        <v>1249</v>
      </c>
      <c r="AR25" s="67" t="s">
        <v>1250</v>
      </c>
      <c r="AS25" s="67" t="s">
        <v>1251</v>
      </c>
      <c r="AT25" s="92" t="s">
        <v>1252</v>
      </c>
      <c r="AU25" s="64" t="s">
        <v>1253</v>
      </c>
      <c r="AV25" s="92" t="s">
        <v>1254</v>
      </c>
      <c r="AW25" s="123" t="n">
        <v>25</v>
      </c>
      <c r="AX25" s="65" t="s">
        <v>30</v>
      </c>
      <c r="AY25" s="100"/>
      <c r="AZ25" s="100"/>
      <c r="BA25" s="57" t="n">
        <v>8</v>
      </c>
      <c r="BB25" s="74" t="n">
        <v>17</v>
      </c>
      <c r="BC25" s="122" t="s">
        <v>1255</v>
      </c>
      <c r="BD25" s="76" t="n">
        <v>0</v>
      </c>
      <c r="BE25" s="76" t="n">
        <f aca="false">_xlfn.RANK.EQ(BD25,$BD$9:$BD$48,0)</f>
        <v>1</v>
      </c>
    </row>
    <row r="26" customFormat="false" ht="18" hidden="false" customHeight="true" outlineLevel="0" collapsed="false">
      <c r="A26" s="60" t="s">
        <v>1256</v>
      </c>
      <c r="B26" s="62" t="s">
        <v>1257</v>
      </c>
      <c r="C26" s="62" t="s">
        <v>1258</v>
      </c>
      <c r="D26" s="62" t="s">
        <v>1259</v>
      </c>
      <c r="E26" s="62" t="s">
        <v>1260</v>
      </c>
      <c r="F26" s="62" t="s">
        <v>1261</v>
      </c>
      <c r="G26" s="62" t="s">
        <v>1262</v>
      </c>
      <c r="H26" s="62" t="s">
        <v>1263</v>
      </c>
      <c r="I26" s="62" t="s">
        <v>1264</v>
      </c>
      <c r="J26" s="62" t="s">
        <v>1265</v>
      </c>
      <c r="K26" s="63" t="s">
        <v>1266</v>
      </c>
      <c r="L26" s="60" t="s">
        <v>1267</v>
      </c>
      <c r="M26" s="62" t="s">
        <v>1268</v>
      </c>
      <c r="N26" s="62" t="s">
        <v>1269</v>
      </c>
      <c r="O26" s="62" t="s">
        <v>1270</v>
      </c>
      <c r="P26" s="62" t="s">
        <v>1271</v>
      </c>
      <c r="Q26" s="62" t="s">
        <v>1272</v>
      </c>
      <c r="R26" s="62" t="s">
        <v>1273</v>
      </c>
      <c r="S26" s="62" t="s">
        <v>1274</v>
      </c>
      <c r="T26" s="62" t="s">
        <v>1275</v>
      </c>
      <c r="U26" s="62" t="s">
        <v>1276</v>
      </c>
      <c r="V26" s="62" t="s">
        <v>1277</v>
      </c>
      <c r="W26" s="63" t="s">
        <v>1278</v>
      </c>
      <c r="X26" s="60" t="s">
        <v>1279</v>
      </c>
      <c r="Y26" s="62" t="s">
        <v>1280</v>
      </c>
      <c r="Z26" s="61"/>
      <c r="AA26" s="62" t="s">
        <v>1281</v>
      </c>
      <c r="AB26" s="62" t="s">
        <v>1282</v>
      </c>
      <c r="AC26" s="62" t="s">
        <v>1283</v>
      </c>
      <c r="AD26" s="62" t="s">
        <v>1284</v>
      </c>
      <c r="AE26" s="63" t="s">
        <v>1285</v>
      </c>
      <c r="AF26" s="60" t="s">
        <v>1286</v>
      </c>
      <c r="AG26" s="62" t="s">
        <v>1287</v>
      </c>
      <c r="AH26" s="62" t="s">
        <v>1288</v>
      </c>
      <c r="AI26" s="62" t="s">
        <v>1289</v>
      </c>
      <c r="AJ26" s="62" t="s">
        <v>1290</v>
      </c>
      <c r="AK26" s="62" t="s">
        <v>1291</v>
      </c>
      <c r="AL26" s="62" t="s">
        <v>1292</v>
      </c>
      <c r="AM26" s="62" t="s">
        <v>1293</v>
      </c>
      <c r="AN26" s="63" t="s">
        <v>1294</v>
      </c>
      <c r="AO26" s="60" t="s">
        <v>1295</v>
      </c>
      <c r="AP26" s="62" t="s">
        <v>1296</v>
      </c>
      <c r="AQ26" s="62" t="s">
        <v>1297</v>
      </c>
      <c r="AR26" s="62" t="s">
        <v>1298</v>
      </c>
      <c r="AS26" s="62" t="s">
        <v>1299</v>
      </c>
      <c r="AT26" s="63" t="s">
        <v>1300</v>
      </c>
      <c r="AU26" s="60" t="s">
        <v>1301</v>
      </c>
      <c r="AV26" s="63" t="s">
        <v>1302</v>
      </c>
      <c r="AW26" s="60" t="n">
        <v>26</v>
      </c>
      <c r="AX26" s="59" t="s">
        <v>31</v>
      </c>
      <c r="AY26" s="100"/>
      <c r="AZ26" s="100"/>
      <c r="BA26" s="57" t="n">
        <v>17</v>
      </c>
      <c r="BB26" s="74" t="n">
        <v>18</v>
      </c>
      <c r="BC26" s="122" t="s">
        <v>1303</v>
      </c>
      <c r="BD26" s="76" t="n">
        <v>0</v>
      </c>
      <c r="BE26" s="76" t="n">
        <f aca="false">_xlfn.RANK.EQ(BD26,$BD$9:$BD$48,0)</f>
        <v>1</v>
      </c>
    </row>
    <row r="27" customFormat="false" ht="18" hidden="false" customHeight="true" outlineLevel="0" collapsed="false">
      <c r="A27" s="66" t="s">
        <v>1304</v>
      </c>
      <c r="B27" s="68" t="s">
        <v>1305</v>
      </c>
      <c r="C27" s="68" t="s">
        <v>1306</v>
      </c>
      <c r="D27" s="68" t="s">
        <v>1307</v>
      </c>
      <c r="E27" s="68" t="s">
        <v>1308</v>
      </c>
      <c r="F27" s="68" t="s">
        <v>1309</v>
      </c>
      <c r="G27" s="68" t="s">
        <v>1310</v>
      </c>
      <c r="H27" s="68" t="s">
        <v>1311</v>
      </c>
      <c r="I27" s="68" t="s">
        <v>1312</v>
      </c>
      <c r="J27" s="68" t="s">
        <v>1313</v>
      </c>
      <c r="K27" s="69" t="s">
        <v>1314</v>
      </c>
      <c r="L27" s="66" t="s">
        <v>1315</v>
      </c>
      <c r="M27" s="68" t="s">
        <v>1316</v>
      </c>
      <c r="N27" s="68" t="s">
        <v>1317</v>
      </c>
      <c r="O27" s="68" t="s">
        <v>1318</v>
      </c>
      <c r="P27" s="68" t="s">
        <v>1319</v>
      </c>
      <c r="Q27" s="68" t="s">
        <v>1320</v>
      </c>
      <c r="R27" s="68" t="s">
        <v>1321</v>
      </c>
      <c r="S27" s="68" t="s">
        <v>1322</v>
      </c>
      <c r="T27" s="68" t="s">
        <v>1323</v>
      </c>
      <c r="U27" s="68" t="s">
        <v>1324</v>
      </c>
      <c r="V27" s="67" t="s">
        <v>1325</v>
      </c>
      <c r="W27" s="92" t="s">
        <v>1326</v>
      </c>
      <c r="X27" s="64" t="s">
        <v>1327</v>
      </c>
      <c r="Y27" s="67" t="s">
        <v>1328</v>
      </c>
      <c r="Z27" s="67" t="s">
        <v>1329</v>
      </c>
      <c r="AA27" s="61"/>
      <c r="AB27" s="67" t="s">
        <v>1330</v>
      </c>
      <c r="AC27" s="67" t="s">
        <v>1331</v>
      </c>
      <c r="AD27" s="67" t="s">
        <v>1332</v>
      </c>
      <c r="AE27" s="92" t="s">
        <v>1333</v>
      </c>
      <c r="AF27" s="64" t="s">
        <v>1334</v>
      </c>
      <c r="AG27" s="67" t="s">
        <v>1335</v>
      </c>
      <c r="AH27" s="67" t="s">
        <v>1336</v>
      </c>
      <c r="AI27" s="67" t="s">
        <v>1337</v>
      </c>
      <c r="AJ27" s="67" t="s">
        <v>1338</v>
      </c>
      <c r="AK27" s="67" t="s">
        <v>1339</v>
      </c>
      <c r="AL27" s="67" t="s">
        <v>1340</v>
      </c>
      <c r="AM27" s="67" t="s">
        <v>1341</v>
      </c>
      <c r="AN27" s="92" t="s">
        <v>1342</v>
      </c>
      <c r="AO27" s="64" t="s">
        <v>1343</v>
      </c>
      <c r="AP27" s="67" t="s">
        <v>1344</v>
      </c>
      <c r="AQ27" s="67" t="s">
        <v>1345</v>
      </c>
      <c r="AR27" s="67" t="s">
        <v>1346</v>
      </c>
      <c r="AS27" s="67" t="s">
        <v>1347</v>
      </c>
      <c r="AT27" s="92" t="s">
        <v>1348</v>
      </c>
      <c r="AU27" s="64" t="s">
        <v>1349</v>
      </c>
      <c r="AV27" s="92" t="s">
        <v>1350</v>
      </c>
      <c r="AW27" s="123" t="n">
        <v>27</v>
      </c>
      <c r="AX27" s="65" t="s">
        <v>32</v>
      </c>
      <c r="AY27" s="100"/>
      <c r="AZ27" s="100"/>
      <c r="BA27" s="57" t="n">
        <v>66</v>
      </c>
      <c r="BB27" s="74" t="n">
        <v>19</v>
      </c>
      <c r="BC27" s="122" t="s">
        <v>1351</v>
      </c>
      <c r="BD27" s="76" t="n">
        <v>0</v>
      </c>
      <c r="BE27" s="76" t="n">
        <f aca="false">_xlfn.RANK.EQ(BD27,$BD$9:$BD$48,0)</f>
        <v>1</v>
      </c>
    </row>
    <row r="28" customFormat="false" ht="18" hidden="false" customHeight="true" outlineLevel="0" collapsed="false">
      <c r="A28" s="60" t="s">
        <v>1353</v>
      </c>
      <c r="B28" s="62" t="s">
        <v>1354</v>
      </c>
      <c r="C28" s="62" t="s">
        <v>1355</v>
      </c>
      <c r="D28" s="62" t="s">
        <v>1356</v>
      </c>
      <c r="E28" s="62" t="s">
        <v>1357</v>
      </c>
      <c r="F28" s="62" t="s">
        <v>1358</v>
      </c>
      <c r="G28" s="62" t="s">
        <v>1359</v>
      </c>
      <c r="H28" s="62" t="s">
        <v>1360</v>
      </c>
      <c r="I28" s="62" t="s">
        <v>1361</v>
      </c>
      <c r="J28" s="62" t="s">
        <v>1362</v>
      </c>
      <c r="K28" s="63" t="s">
        <v>1363</v>
      </c>
      <c r="L28" s="60" t="s">
        <v>1364</v>
      </c>
      <c r="M28" s="62" t="s">
        <v>1365</v>
      </c>
      <c r="N28" s="62" t="s">
        <v>1366</v>
      </c>
      <c r="O28" s="62" t="s">
        <v>1367</v>
      </c>
      <c r="P28" s="62" t="s">
        <v>1368</v>
      </c>
      <c r="Q28" s="62" t="s">
        <v>1369</v>
      </c>
      <c r="R28" s="62" t="s">
        <v>1370</v>
      </c>
      <c r="S28" s="62" t="s">
        <v>1371</v>
      </c>
      <c r="T28" s="62" t="s">
        <v>1372</v>
      </c>
      <c r="U28" s="62" t="s">
        <v>1373</v>
      </c>
      <c r="V28" s="62" t="s">
        <v>1374</v>
      </c>
      <c r="W28" s="63" t="s">
        <v>1375</v>
      </c>
      <c r="X28" s="60" t="s">
        <v>1376</v>
      </c>
      <c r="Y28" s="62" t="s">
        <v>1377</v>
      </c>
      <c r="Z28" s="62" t="s">
        <v>1378</v>
      </c>
      <c r="AA28" s="62" t="s">
        <v>1379</v>
      </c>
      <c r="AB28" s="61"/>
      <c r="AC28" s="62" t="s">
        <v>1380</v>
      </c>
      <c r="AD28" s="62" t="s">
        <v>1381</v>
      </c>
      <c r="AE28" s="63" t="s">
        <v>1382</v>
      </c>
      <c r="AF28" s="60" t="s">
        <v>1383</v>
      </c>
      <c r="AG28" s="62" t="s">
        <v>1384</v>
      </c>
      <c r="AH28" s="62" t="s">
        <v>1385</v>
      </c>
      <c r="AI28" s="62" t="s">
        <v>1386</v>
      </c>
      <c r="AJ28" s="62" t="s">
        <v>1387</v>
      </c>
      <c r="AK28" s="62" t="s">
        <v>1388</v>
      </c>
      <c r="AL28" s="62" t="s">
        <v>1389</v>
      </c>
      <c r="AM28" s="62" t="s">
        <v>1390</v>
      </c>
      <c r="AN28" s="63" t="s">
        <v>1391</v>
      </c>
      <c r="AO28" s="60" t="s">
        <v>1392</v>
      </c>
      <c r="AP28" s="62" t="s">
        <v>1393</v>
      </c>
      <c r="AQ28" s="62" t="s">
        <v>1394</v>
      </c>
      <c r="AR28" s="62" t="s">
        <v>1395</v>
      </c>
      <c r="AS28" s="62" t="s">
        <v>1396</v>
      </c>
      <c r="AT28" s="63" t="s">
        <v>1397</v>
      </c>
      <c r="AU28" s="60" t="s">
        <v>1398</v>
      </c>
      <c r="AV28" s="63" t="s">
        <v>1399</v>
      </c>
      <c r="AW28" s="60" t="n">
        <v>28</v>
      </c>
      <c r="AX28" s="59" t="s">
        <v>1352</v>
      </c>
      <c r="AY28" s="100"/>
      <c r="AZ28" s="100"/>
      <c r="BA28" s="57" t="n">
        <v>73</v>
      </c>
      <c r="BB28" s="74" t="n">
        <v>20</v>
      </c>
      <c r="BC28" s="122" t="s">
        <v>1400</v>
      </c>
      <c r="BD28" s="76" t="n">
        <v>0</v>
      </c>
      <c r="BE28" s="76" t="n">
        <f aca="false">_xlfn.RANK.EQ(BD28,$BD$9:$BD$48,0)</f>
        <v>1</v>
      </c>
    </row>
    <row r="29" customFormat="false" ht="18" hidden="false" customHeight="true" outlineLevel="0" collapsed="false">
      <c r="A29" s="66" t="s">
        <v>1402</v>
      </c>
      <c r="B29" s="68" t="s">
        <v>1403</v>
      </c>
      <c r="C29" s="68" t="s">
        <v>1404</v>
      </c>
      <c r="D29" s="68" t="s">
        <v>1405</v>
      </c>
      <c r="E29" s="68" t="s">
        <v>1406</v>
      </c>
      <c r="F29" s="68" t="s">
        <v>1407</v>
      </c>
      <c r="G29" s="68" t="s">
        <v>1408</v>
      </c>
      <c r="H29" s="68" t="s">
        <v>1409</v>
      </c>
      <c r="I29" s="68" t="s">
        <v>1410</v>
      </c>
      <c r="J29" s="68" t="s">
        <v>1411</v>
      </c>
      <c r="K29" s="69" t="s">
        <v>1412</v>
      </c>
      <c r="L29" s="66" t="s">
        <v>1413</v>
      </c>
      <c r="M29" s="68" t="s">
        <v>1414</v>
      </c>
      <c r="N29" s="68" t="s">
        <v>1415</v>
      </c>
      <c r="O29" s="68" t="s">
        <v>1416</v>
      </c>
      <c r="P29" s="68" t="s">
        <v>1417</v>
      </c>
      <c r="Q29" s="68" t="s">
        <v>1418</v>
      </c>
      <c r="R29" s="68" t="s">
        <v>1419</v>
      </c>
      <c r="S29" s="68" t="s">
        <v>1420</v>
      </c>
      <c r="T29" s="68" t="s">
        <v>1421</v>
      </c>
      <c r="U29" s="68" t="s">
        <v>1422</v>
      </c>
      <c r="V29" s="67" t="s">
        <v>1423</v>
      </c>
      <c r="W29" s="92" t="s">
        <v>1424</v>
      </c>
      <c r="X29" s="64" t="s">
        <v>1425</v>
      </c>
      <c r="Y29" s="67" t="s">
        <v>1426</v>
      </c>
      <c r="Z29" s="67" t="s">
        <v>1427</v>
      </c>
      <c r="AA29" s="67" t="s">
        <v>1428</v>
      </c>
      <c r="AB29" s="67" t="s">
        <v>1429</v>
      </c>
      <c r="AC29" s="61"/>
      <c r="AD29" s="67" t="s">
        <v>1430</v>
      </c>
      <c r="AE29" s="92" t="s">
        <v>1431</v>
      </c>
      <c r="AF29" s="64" t="s">
        <v>1432</v>
      </c>
      <c r="AG29" s="67" t="s">
        <v>1433</v>
      </c>
      <c r="AH29" s="67" t="s">
        <v>1434</v>
      </c>
      <c r="AI29" s="67" t="s">
        <v>1435</v>
      </c>
      <c r="AJ29" s="67" t="s">
        <v>1436</v>
      </c>
      <c r="AK29" s="67" t="s">
        <v>1437</v>
      </c>
      <c r="AL29" s="67" t="s">
        <v>1438</v>
      </c>
      <c r="AM29" s="67" t="s">
        <v>1439</v>
      </c>
      <c r="AN29" s="92" t="s">
        <v>1440</v>
      </c>
      <c r="AO29" s="64" t="s">
        <v>1441</v>
      </c>
      <c r="AP29" s="67" t="s">
        <v>1442</v>
      </c>
      <c r="AQ29" s="67" t="s">
        <v>1443</v>
      </c>
      <c r="AR29" s="67" t="s">
        <v>1444</v>
      </c>
      <c r="AS29" s="67" t="s">
        <v>1445</v>
      </c>
      <c r="AT29" s="92" t="s">
        <v>1446</v>
      </c>
      <c r="AU29" s="64" t="s">
        <v>1447</v>
      </c>
      <c r="AV29" s="92" t="s">
        <v>1448</v>
      </c>
      <c r="AW29" s="123" t="n">
        <v>29</v>
      </c>
      <c r="AX29" s="65" t="s">
        <v>1401</v>
      </c>
      <c r="AY29" s="100"/>
      <c r="AZ29" s="100"/>
      <c r="BA29" s="57" t="n">
        <v>6</v>
      </c>
      <c r="BB29" s="74" t="n">
        <v>21</v>
      </c>
      <c r="BC29" s="122" t="s">
        <v>1449</v>
      </c>
      <c r="BD29" s="76" t="n">
        <v>0</v>
      </c>
      <c r="BE29" s="76" t="n">
        <f aca="false">_xlfn.RANK.EQ(BD29,$BD$9:$BD$48,0)</f>
        <v>1</v>
      </c>
    </row>
    <row r="30" customFormat="false" ht="18" hidden="false" customHeight="true" outlineLevel="0" collapsed="false">
      <c r="A30" s="60" t="s">
        <v>1450</v>
      </c>
      <c r="B30" s="62" t="s">
        <v>1451</v>
      </c>
      <c r="C30" s="62" t="s">
        <v>1452</v>
      </c>
      <c r="D30" s="62" t="s">
        <v>1453</v>
      </c>
      <c r="E30" s="62" t="s">
        <v>1454</v>
      </c>
      <c r="F30" s="62" t="s">
        <v>1455</v>
      </c>
      <c r="G30" s="62" t="s">
        <v>1456</v>
      </c>
      <c r="H30" s="62" t="s">
        <v>1457</v>
      </c>
      <c r="I30" s="62" t="s">
        <v>1458</v>
      </c>
      <c r="J30" s="62" t="s">
        <v>1459</v>
      </c>
      <c r="K30" s="63" t="s">
        <v>1460</v>
      </c>
      <c r="L30" s="60" t="s">
        <v>1461</v>
      </c>
      <c r="M30" s="62" t="s">
        <v>1462</v>
      </c>
      <c r="N30" s="62" t="s">
        <v>1463</v>
      </c>
      <c r="O30" s="62" t="s">
        <v>1464</v>
      </c>
      <c r="P30" s="62" t="s">
        <v>1465</v>
      </c>
      <c r="Q30" s="62" t="s">
        <v>1466</v>
      </c>
      <c r="R30" s="62" t="s">
        <v>1467</v>
      </c>
      <c r="S30" s="62" t="s">
        <v>1468</v>
      </c>
      <c r="T30" s="62" t="s">
        <v>1469</v>
      </c>
      <c r="U30" s="62" t="s">
        <v>1470</v>
      </c>
      <c r="V30" s="62" t="s">
        <v>1471</v>
      </c>
      <c r="W30" s="63" t="s">
        <v>1472</v>
      </c>
      <c r="X30" s="60" t="s">
        <v>1473</v>
      </c>
      <c r="Y30" s="62" t="s">
        <v>1474</v>
      </c>
      <c r="Z30" s="62" t="s">
        <v>1475</v>
      </c>
      <c r="AA30" s="62" t="s">
        <v>1476</v>
      </c>
      <c r="AB30" s="62" t="s">
        <v>1477</v>
      </c>
      <c r="AC30" s="62" t="s">
        <v>1478</v>
      </c>
      <c r="AD30" s="61"/>
      <c r="AE30" s="63" t="s">
        <v>1479</v>
      </c>
      <c r="AF30" s="60" t="s">
        <v>1480</v>
      </c>
      <c r="AG30" s="62" t="s">
        <v>1481</v>
      </c>
      <c r="AH30" s="62" t="s">
        <v>1482</v>
      </c>
      <c r="AI30" s="62" t="s">
        <v>1483</v>
      </c>
      <c r="AJ30" s="62" t="s">
        <v>1484</v>
      </c>
      <c r="AK30" s="62" t="s">
        <v>1485</v>
      </c>
      <c r="AL30" s="62" t="s">
        <v>1486</v>
      </c>
      <c r="AM30" s="62" t="s">
        <v>1487</v>
      </c>
      <c r="AN30" s="63" t="s">
        <v>1488</v>
      </c>
      <c r="AO30" s="60" t="s">
        <v>1489</v>
      </c>
      <c r="AP30" s="62" t="s">
        <v>1490</v>
      </c>
      <c r="AQ30" s="62" t="s">
        <v>1491</v>
      </c>
      <c r="AR30" s="62" t="s">
        <v>1492</v>
      </c>
      <c r="AS30" s="62" t="s">
        <v>1493</v>
      </c>
      <c r="AT30" s="63" t="s">
        <v>1494</v>
      </c>
      <c r="AU30" s="60" t="s">
        <v>1495</v>
      </c>
      <c r="AV30" s="63" t="s">
        <v>1496</v>
      </c>
      <c r="AW30" s="60" t="n">
        <v>30</v>
      </c>
      <c r="AX30" s="59" t="s">
        <v>35</v>
      </c>
      <c r="AY30" s="100"/>
      <c r="AZ30" s="100"/>
      <c r="BA30" s="57" t="n">
        <v>9</v>
      </c>
      <c r="BB30" s="74" t="n">
        <v>22</v>
      </c>
      <c r="BC30" s="122" t="s">
        <v>1497</v>
      </c>
      <c r="BD30" s="76" t="n">
        <v>0</v>
      </c>
      <c r="BE30" s="76" t="n">
        <f aca="false">_xlfn.RANK.EQ(BD30,$BD$9:$BD$48,0)</f>
        <v>1</v>
      </c>
    </row>
    <row r="31" customFormat="false" ht="18" hidden="false" customHeight="true" outlineLevel="0" collapsed="false">
      <c r="A31" s="84" t="s">
        <v>1499</v>
      </c>
      <c r="B31" s="85" t="s">
        <v>1500</v>
      </c>
      <c r="C31" s="85" t="s">
        <v>1501</v>
      </c>
      <c r="D31" s="85" t="s">
        <v>1502</v>
      </c>
      <c r="E31" s="85" t="s">
        <v>1503</v>
      </c>
      <c r="F31" s="85" t="s">
        <v>1504</v>
      </c>
      <c r="G31" s="85" t="s">
        <v>1505</v>
      </c>
      <c r="H31" s="85" t="s">
        <v>1506</v>
      </c>
      <c r="I31" s="85" t="s">
        <v>1507</v>
      </c>
      <c r="J31" s="85" t="s">
        <v>1508</v>
      </c>
      <c r="K31" s="86" t="s">
        <v>1509</v>
      </c>
      <c r="L31" s="84" t="s">
        <v>1510</v>
      </c>
      <c r="M31" s="85" t="s">
        <v>1511</v>
      </c>
      <c r="N31" s="85" t="s">
        <v>1512</v>
      </c>
      <c r="O31" s="85" t="s">
        <v>1513</v>
      </c>
      <c r="P31" s="85" t="s">
        <v>1514</v>
      </c>
      <c r="Q31" s="85" t="s">
        <v>1515</v>
      </c>
      <c r="R31" s="85" t="s">
        <v>1516</v>
      </c>
      <c r="S31" s="85" t="s">
        <v>1517</v>
      </c>
      <c r="T31" s="85" t="s">
        <v>1518</v>
      </c>
      <c r="U31" s="85" t="s">
        <v>1519</v>
      </c>
      <c r="V31" s="97" t="s">
        <v>1520</v>
      </c>
      <c r="W31" s="103" t="s">
        <v>1521</v>
      </c>
      <c r="X31" s="78" t="s">
        <v>1522</v>
      </c>
      <c r="Y31" s="97" t="s">
        <v>1523</v>
      </c>
      <c r="Z31" s="97" t="s">
        <v>1524</v>
      </c>
      <c r="AA31" s="97" t="s">
        <v>1525</v>
      </c>
      <c r="AB31" s="97" t="s">
        <v>1526</v>
      </c>
      <c r="AC31" s="97" t="s">
        <v>1527</v>
      </c>
      <c r="AD31" s="97" t="s">
        <v>1528</v>
      </c>
      <c r="AE31" s="98"/>
      <c r="AF31" s="78" t="s">
        <v>1529</v>
      </c>
      <c r="AG31" s="97" t="s">
        <v>1530</v>
      </c>
      <c r="AH31" s="97" t="s">
        <v>1531</v>
      </c>
      <c r="AI31" s="97" t="s">
        <v>1532</v>
      </c>
      <c r="AJ31" s="97" t="s">
        <v>1533</v>
      </c>
      <c r="AK31" s="97" t="s">
        <v>1534</v>
      </c>
      <c r="AL31" s="97" t="s">
        <v>1535</v>
      </c>
      <c r="AM31" s="97" t="s">
        <v>1536</v>
      </c>
      <c r="AN31" s="103" t="s">
        <v>1537</v>
      </c>
      <c r="AO31" s="78" t="s">
        <v>1538</v>
      </c>
      <c r="AP31" s="97" t="s">
        <v>1539</v>
      </c>
      <c r="AQ31" s="97" t="s">
        <v>1540</v>
      </c>
      <c r="AR31" s="97" t="s">
        <v>1541</v>
      </c>
      <c r="AS31" s="97" t="s">
        <v>1542</v>
      </c>
      <c r="AT31" s="103" t="s">
        <v>1543</v>
      </c>
      <c r="AU31" s="78" t="s">
        <v>1544</v>
      </c>
      <c r="AV31" s="103" t="s">
        <v>1545</v>
      </c>
      <c r="AW31" s="387" t="n">
        <v>31</v>
      </c>
      <c r="AX31" s="79" t="s">
        <v>1498</v>
      </c>
      <c r="AY31" s="100"/>
      <c r="AZ31" s="100"/>
      <c r="BA31" s="57" t="n">
        <v>20</v>
      </c>
      <c r="BB31" s="74" t="n">
        <v>23</v>
      </c>
      <c r="BC31" s="122" t="s">
        <v>1546</v>
      </c>
      <c r="BD31" s="76" t="n">
        <v>0</v>
      </c>
      <c r="BE31" s="76" t="n">
        <f aca="false">_xlfn.RANK.EQ(BD31,$BD$9:$BD$48,0)</f>
        <v>1</v>
      </c>
    </row>
    <row r="32" customFormat="false" ht="18" hidden="false" customHeight="true" outlineLevel="0" collapsed="false">
      <c r="A32" s="88" t="s">
        <v>1547</v>
      </c>
      <c r="B32" s="90" t="s">
        <v>1548</v>
      </c>
      <c r="C32" s="90" t="s">
        <v>1549</v>
      </c>
      <c r="D32" s="90" t="s">
        <v>1550</v>
      </c>
      <c r="E32" s="90" t="s">
        <v>1551</v>
      </c>
      <c r="F32" s="90" t="s">
        <v>1552</v>
      </c>
      <c r="G32" s="90" t="s">
        <v>1553</v>
      </c>
      <c r="H32" s="90" t="s">
        <v>1554</v>
      </c>
      <c r="I32" s="90" t="s">
        <v>1555</v>
      </c>
      <c r="J32" s="90" t="s">
        <v>1556</v>
      </c>
      <c r="K32" s="91" t="s">
        <v>1557</v>
      </c>
      <c r="L32" s="88" t="s">
        <v>1558</v>
      </c>
      <c r="M32" s="90" t="s">
        <v>1559</v>
      </c>
      <c r="N32" s="90" t="s">
        <v>1560</v>
      </c>
      <c r="O32" s="90" t="s">
        <v>1561</v>
      </c>
      <c r="P32" s="90" t="s">
        <v>1562</v>
      </c>
      <c r="Q32" s="90" t="s">
        <v>1563</v>
      </c>
      <c r="R32" s="90" t="s">
        <v>1564</v>
      </c>
      <c r="S32" s="90" t="s">
        <v>1565</v>
      </c>
      <c r="T32" s="90" t="s">
        <v>1566</v>
      </c>
      <c r="U32" s="90" t="s">
        <v>1567</v>
      </c>
      <c r="V32" s="90" t="s">
        <v>1568</v>
      </c>
      <c r="W32" s="91" t="s">
        <v>1569</v>
      </c>
      <c r="X32" s="88" t="s">
        <v>1570</v>
      </c>
      <c r="Y32" s="90" t="s">
        <v>1571</v>
      </c>
      <c r="Z32" s="90" t="s">
        <v>1572</v>
      </c>
      <c r="AA32" s="90" t="s">
        <v>1573</v>
      </c>
      <c r="AB32" s="90" t="s">
        <v>1574</v>
      </c>
      <c r="AC32" s="90" t="s">
        <v>1575</v>
      </c>
      <c r="AD32" s="90" t="s">
        <v>1576</v>
      </c>
      <c r="AE32" s="91" t="s">
        <v>1577</v>
      </c>
      <c r="AF32" s="53"/>
      <c r="AG32" s="90" t="s">
        <v>1578</v>
      </c>
      <c r="AH32" s="90" t="s">
        <v>1579</v>
      </c>
      <c r="AI32" s="90" t="s">
        <v>1580</v>
      </c>
      <c r="AJ32" s="90" t="s">
        <v>1581</v>
      </c>
      <c r="AK32" s="90" t="s">
        <v>1582</v>
      </c>
      <c r="AL32" s="90" t="s">
        <v>1583</v>
      </c>
      <c r="AM32" s="90" t="s">
        <v>1584</v>
      </c>
      <c r="AN32" s="91" t="s">
        <v>1585</v>
      </c>
      <c r="AO32" s="88" t="s">
        <v>1586</v>
      </c>
      <c r="AP32" s="90" t="s">
        <v>1587</v>
      </c>
      <c r="AQ32" s="90" t="s">
        <v>1588</v>
      </c>
      <c r="AR32" s="90" t="s">
        <v>1589</v>
      </c>
      <c r="AS32" s="90" t="s">
        <v>1590</v>
      </c>
      <c r="AT32" s="91" t="s">
        <v>1591</v>
      </c>
      <c r="AU32" s="88" t="s">
        <v>1592</v>
      </c>
      <c r="AV32" s="91" t="s">
        <v>1593</v>
      </c>
      <c r="AW32" s="88" t="n">
        <v>32</v>
      </c>
      <c r="AX32" s="89" t="s">
        <v>37</v>
      </c>
      <c r="AY32" s="104" t="s">
        <v>3</v>
      </c>
      <c r="AZ32" s="104"/>
      <c r="BA32" s="57" t="n">
        <v>23</v>
      </c>
      <c r="BB32" s="74" t="n">
        <v>24</v>
      </c>
      <c r="BC32" s="122" t="s">
        <v>1594</v>
      </c>
      <c r="BD32" s="76" t="n">
        <v>0</v>
      </c>
      <c r="BE32" s="76" t="n">
        <f aca="false">_xlfn.RANK.EQ(BD32,$BD$9:$BD$48,0)</f>
        <v>1</v>
      </c>
    </row>
    <row r="33" customFormat="false" ht="18" hidden="false" customHeight="true" outlineLevel="0" collapsed="false">
      <c r="A33" s="66" t="s">
        <v>1595</v>
      </c>
      <c r="B33" s="68" t="s">
        <v>1596</v>
      </c>
      <c r="C33" s="68" t="s">
        <v>1597</v>
      </c>
      <c r="D33" s="68" t="s">
        <v>1598</v>
      </c>
      <c r="E33" s="68" t="s">
        <v>1599</v>
      </c>
      <c r="F33" s="68" t="s">
        <v>1600</v>
      </c>
      <c r="G33" s="68" t="s">
        <v>1601</v>
      </c>
      <c r="H33" s="68" t="s">
        <v>1602</v>
      </c>
      <c r="I33" s="68" t="s">
        <v>1603</v>
      </c>
      <c r="J33" s="68" t="s">
        <v>1604</v>
      </c>
      <c r="K33" s="69" t="s">
        <v>1605</v>
      </c>
      <c r="L33" s="66" t="s">
        <v>1606</v>
      </c>
      <c r="M33" s="68" t="s">
        <v>1607</v>
      </c>
      <c r="N33" s="68" t="s">
        <v>1608</v>
      </c>
      <c r="O33" s="68" t="s">
        <v>1609</v>
      </c>
      <c r="P33" s="68" t="s">
        <v>1610</v>
      </c>
      <c r="Q33" s="68" t="s">
        <v>1611</v>
      </c>
      <c r="R33" s="68" t="s">
        <v>1612</v>
      </c>
      <c r="S33" s="68" t="s">
        <v>1613</v>
      </c>
      <c r="T33" s="68" t="s">
        <v>1614</v>
      </c>
      <c r="U33" s="68" t="s">
        <v>1615</v>
      </c>
      <c r="V33" s="67" t="s">
        <v>1616</v>
      </c>
      <c r="W33" s="92" t="s">
        <v>1617</v>
      </c>
      <c r="X33" s="64" t="s">
        <v>1618</v>
      </c>
      <c r="Y33" s="67" t="s">
        <v>1619</v>
      </c>
      <c r="Z33" s="67" t="s">
        <v>1620</v>
      </c>
      <c r="AA33" s="67" t="s">
        <v>1621</v>
      </c>
      <c r="AB33" s="67" t="s">
        <v>1622</v>
      </c>
      <c r="AC33" s="67" t="s">
        <v>1623</v>
      </c>
      <c r="AD33" s="67" t="s">
        <v>1624</v>
      </c>
      <c r="AE33" s="92" t="s">
        <v>1625</v>
      </c>
      <c r="AF33" s="64" t="s">
        <v>1626</v>
      </c>
      <c r="AG33" s="61"/>
      <c r="AH33" s="67" t="s">
        <v>1627</v>
      </c>
      <c r="AI33" s="67" t="s">
        <v>1628</v>
      </c>
      <c r="AJ33" s="67" t="s">
        <v>1629</v>
      </c>
      <c r="AK33" s="67" t="s">
        <v>1630</v>
      </c>
      <c r="AL33" s="67" t="s">
        <v>1631</v>
      </c>
      <c r="AM33" s="67" t="s">
        <v>1632</v>
      </c>
      <c r="AN33" s="92" t="s">
        <v>1633</v>
      </c>
      <c r="AO33" s="64" t="s">
        <v>1634</v>
      </c>
      <c r="AP33" s="67" t="s">
        <v>1635</v>
      </c>
      <c r="AQ33" s="67" t="s">
        <v>1636</v>
      </c>
      <c r="AR33" s="67" t="s">
        <v>1637</v>
      </c>
      <c r="AS33" s="67" t="s">
        <v>1638</v>
      </c>
      <c r="AT33" s="92" t="s">
        <v>1639</v>
      </c>
      <c r="AU33" s="64" t="s">
        <v>1640</v>
      </c>
      <c r="AV33" s="92" t="s">
        <v>1641</v>
      </c>
      <c r="AW33" s="123" t="n">
        <v>33</v>
      </c>
      <c r="AX33" s="65" t="s">
        <v>38</v>
      </c>
      <c r="AY33" s="104"/>
      <c r="AZ33" s="104"/>
      <c r="BA33" s="57" t="n">
        <v>23</v>
      </c>
      <c r="BB33" s="74" t="n">
        <v>25</v>
      </c>
      <c r="BC33" s="122" t="s">
        <v>1642</v>
      </c>
      <c r="BD33" s="76" t="n">
        <v>0</v>
      </c>
      <c r="BE33" s="76" t="n">
        <f aca="false">_xlfn.RANK.EQ(BD33,$BD$9:$BD$48,0)</f>
        <v>1</v>
      </c>
    </row>
    <row r="34" customFormat="false" ht="18" hidden="false" customHeight="true" outlineLevel="0" collapsed="false">
      <c r="A34" s="60" t="s">
        <v>1644</v>
      </c>
      <c r="B34" s="62" t="s">
        <v>1645</v>
      </c>
      <c r="C34" s="62" t="s">
        <v>1646</v>
      </c>
      <c r="D34" s="62" t="s">
        <v>1647</v>
      </c>
      <c r="E34" s="62" t="s">
        <v>1648</v>
      </c>
      <c r="F34" s="62" t="s">
        <v>1649</v>
      </c>
      <c r="G34" s="62" t="s">
        <v>1650</v>
      </c>
      <c r="H34" s="62" t="s">
        <v>1651</v>
      </c>
      <c r="I34" s="62" t="s">
        <v>1652</v>
      </c>
      <c r="J34" s="62" t="s">
        <v>1653</v>
      </c>
      <c r="K34" s="63" t="s">
        <v>1654</v>
      </c>
      <c r="L34" s="60" t="s">
        <v>1655</v>
      </c>
      <c r="M34" s="62" t="s">
        <v>1656</v>
      </c>
      <c r="N34" s="62" t="s">
        <v>1657</v>
      </c>
      <c r="O34" s="62" t="s">
        <v>1658</v>
      </c>
      <c r="P34" s="62" t="s">
        <v>1659</v>
      </c>
      <c r="Q34" s="62" t="s">
        <v>1660</v>
      </c>
      <c r="R34" s="62" t="s">
        <v>1661</v>
      </c>
      <c r="S34" s="62" t="s">
        <v>1662</v>
      </c>
      <c r="T34" s="62" t="s">
        <v>1663</v>
      </c>
      <c r="U34" s="62" t="s">
        <v>1664</v>
      </c>
      <c r="V34" s="62" t="s">
        <v>1665</v>
      </c>
      <c r="W34" s="63" t="s">
        <v>1666</v>
      </c>
      <c r="X34" s="60" t="s">
        <v>1667</v>
      </c>
      <c r="Y34" s="62" t="s">
        <v>1668</v>
      </c>
      <c r="Z34" s="62" t="s">
        <v>1669</v>
      </c>
      <c r="AA34" s="62" t="s">
        <v>1670</v>
      </c>
      <c r="AB34" s="62" t="s">
        <v>1671</v>
      </c>
      <c r="AC34" s="62" t="s">
        <v>1672</v>
      </c>
      <c r="AD34" s="62" t="s">
        <v>1673</v>
      </c>
      <c r="AE34" s="63" t="s">
        <v>1674</v>
      </c>
      <c r="AF34" s="60" t="s">
        <v>1675</v>
      </c>
      <c r="AG34" s="62" t="s">
        <v>1676</v>
      </c>
      <c r="AH34" s="61"/>
      <c r="AI34" s="62" t="s">
        <v>1677</v>
      </c>
      <c r="AJ34" s="62" t="s">
        <v>1678</v>
      </c>
      <c r="AK34" s="62" t="s">
        <v>1679</v>
      </c>
      <c r="AL34" s="62" t="s">
        <v>1680</v>
      </c>
      <c r="AM34" s="62" t="s">
        <v>1681</v>
      </c>
      <c r="AN34" s="63" t="s">
        <v>1682</v>
      </c>
      <c r="AO34" s="60" t="s">
        <v>1683</v>
      </c>
      <c r="AP34" s="62" t="s">
        <v>1684</v>
      </c>
      <c r="AQ34" s="62" t="s">
        <v>1685</v>
      </c>
      <c r="AR34" s="62" t="s">
        <v>1686</v>
      </c>
      <c r="AS34" s="62" t="s">
        <v>1687</v>
      </c>
      <c r="AT34" s="63" t="s">
        <v>1688</v>
      </c>
      <c r="AU34" s="60" t="s">
        <v>1689</v>
      </c>
      <c r="AV34" s="63" t="s">
        <v>1690</v>
      </c>
      <c r="AW34" s="60" t="n">
        <v>34</v>
      </c>
      <c r="AX34" s="59" t="s">
        <v>1643</v>
      </c>
      <c r="AY34" s="104"/>
      <c r="AZ34" s="104"/>
      <c r="BA34" s="57" t="n">
        <v>16</v>
      </c>
      <c r="BB34" s="74" t="n">
        <v>26</v>
      </c>
      <c r="BC34" s="122" t="s">
        <v>1691</v>
      </c>
      <c r="BD34" s="76" t="n">
        <v>0</v>
      </c>
      <c r="BE34" s="76" t="n">
        <f aca="false">_xlfn.RANK.EQ(BD34,$BD$9:$BD$48,0)</f>
        <v>1</v>
      </c>
    </row>
    <row r="35" customFormat="false" ht="18" hidden="false" customHeight="true" outlineLevel="0" collapsed="false">
      <c r="A35" s="66" t="s">
        <v>1693</v>
      </c>
      <c r="B35" s="68" t="s">
        <v>1694</v>
      </c>
      <c r="C35" s="68" t="s">
        <v>1695</v>
      </c>
      <c r="D35" s="68" t="s">
        <v>1696</v>
      </c>
      <c r="E35" s="68" t="s">
        <v>1697</v>
      </c>
      <c r="F35" s="68" t="s">
        <v>1698</v>
      </c>
      <c r="G35" s="68" t="s">
        <v>1699</v>
      </c>
      <c r="H35" s="68" t="s">
        <v>1700</v>
      </c>
      <c r="I35" s="68" t="s">
        <v>1701</v>
      </c>
      <c r="J35" s="68" t="s">
        <v>1702</v>
      </c>
      <c r="K35" s="69" t="s">
        <v>1703</v>
      </c>
      <c r="L35" s="66" t="s">
        <v>1704</v>
      </c>
      <c r="M35" s="68" t="s">
        <v>1705</v>
      </c>
      <c r="N35" s="68" t="s">
        <v>1706</v>
      </c>
      <c r="O35" s="68" t="s">
        <v>1707</v>
      </c>
      <c r="P35" s="68" t="s">
        <v>1708</v>
      </c>
      <c r="Q35" s="68" t="s">
        <v>1709</v>
      </c>
      <c r="R35" s="68" t="s">
        <v>1710</v>
      </c>
      <c r="S35" s="68" t="s">
        <v>1711</v>
      </c>
      <c r="T35" s="68" t="s">
        <v>1712</v>
      </c>
      <c r="U35" s="68" t="s">
        <v>1713</v>
      </c>
      <c r="V35" s="67" t="s">
        <v>1714</v>
      </c>
      <c r="W35" s="92" t="s">
        <v>1715</v>
      </c>
      <c r="X35" s="64" t="s">
        <v>1716</v>
      </c>
      <c r="Y35" s="67" t="s">
        <v>1717</v>
      </c>
      <c r="Z35" s="67" t="s">
        <v>1718</v>
      </c>
      <c r="AA35" s="67" t="s">
        <v>1719</v>
      </c>
      <c r="AB35" s="67" t="s">
        <v>1720</v>
      </c>
      <c r="AC35" s="67" t="s">
        <v>1721</v>
      </c>
      <c r="AD35" s="67" t="s">
        <v>1722</v>
      </c>
      <c r="AE35" s="92" t="s">
        <v>1723</v>
      </c>
      <c r="AF35" s="64" t="s">
        <v>1724</v>
      </c>
      <c r="AG35" s="67" t="s">
        <v>1725</v>
      </c>
      <c r="AH35" s="67" t="s">
        <v>1726</v>
      </c>
      <c r="AI35" s="61"/>
      <c r="AJ35" s="67" t="s">
        <v>1727</v>
      </c>
      <c r="AK35" s="67" t="s">
        <v>1728</v>
      </c>
      <c r="AL35" s="67" t="s">
        <v>1729</v>
      </c>
      <c r="AM35" s="67" t="s">
        <v>1730</v>
      </c>
      <c r="AN35" s="92" t="s">
        <v>1731</v>
      </c>
      <c r="AO35" s="64" t="s">
        <v>1732</v>
      </c>
      <c r="AP35" s="67" t="s">
        <v>1733</v>
      </c>
      <c r="AQ35" s="67" t="s">
        <v>1734</v>
      </c>
      <c r="AR35" s="67" t="s">
        <v>1735</v>
      </c>
      <c r="AS35" s="67" t="s">
        <v>1736</v>
      </c>
      <c r="AT35" s="92" t="s">
        <v>1737</v>
      </c>
      <c r="AU35" s="64" t="s">
        <v>1738</v>
      </c>
      <c r="AV35" s="92" t="s">
        <v>1739</v>
      </c>
      <c r="AW35" s="123" t="n">
        <v>35</v>
      </c>
      <c r="AX35" s="65" t="s">
        <v>1692</v>
      </c>
      <c r="AY35" s="104"/>
      <c r="AZ35" s="104"/>
      <c r="BA35" s="57" t="n">
        <v>15</v>
      </c>
      <c r="BB35" s="74" t="n">
        <v>27</v>
      </c>
      <c r="BC35" s="122" t="s">
        <v>1740</v>
      </c>
      <c r="BD35" s="76" t="n">
        <v>0</v>
      </c>
      <c r="BE35" s="76" t="n">
        <f aca="false">_xlfn.RANK.EQ(BD35,$BD$9:$BD$48,0)</f>
        <v>1</v>
      </c>
    </row>
    <row r="36" customFormat="false" ht="18" hidden="false" customHeight="true" outlineLevel="0" collapsed="false">
      <c r="A36" s="60" t="s">
        <v>1741</v>
      </c>
      <c r="B36" s="62" t="s">
        <v>1742</v>
      </c>
      <c r="C36" s="62" t="s">
        <v>1743</v>
      </c>
      <c r="D36" s="62" t="s">
        <v>1744</v>
      </c>
      <c r="E36" s="62" t="s">
        <v>1745</v>
      </c>
      <c r="F36" s="62" t="s">
        <v>1746</v>
      </c>
      <c r="G36" s="62" t="s">
        <v>1747</v>
      </c>
      <c r="H36" s="62" t="s">
        <v>1748</v>
      </c>
      <c r="I36" s="62" t="s">
        <v>1749</v>
      </c>
      <c r="J36" s="62" t="s">
        <v>1750</v>
      </c>
      <c r="K36" s="63" t="s">
        <v>1751</v>
      </c>
      <c r="L36" s="60" t="s">
        <v>1752</v>
      </c>
      <c r="M36" s="62" t="s">
        <v>1753</v>
      </c>
      <c r="N36" s="62" t="s">
        <v>1754</v>
      </c>
      <c r="O36" s="62" t="s">
        <v>1755</v>
      </c>
      <c r="P36" s="62" t="s">
        <v>1756</v>
      </c>
      <c r="Q36" s="62" t="s">
        <v>1757</v>
      </c>
      <c r="R36" s="62" t="s">
        <v>1758</v>
      </c>
      <c r="S36" s="62" t="s">
        <v>1759</v>
      </c>
      <c r="T36" s="62" t="s">
        <v>1760</v>
      </c>
      <c r="U36" s="62" t="s">
        <v>1761</v>
      </c>
      <c r="V36" s="62" t="s">
        <v>1762</v>
      </c>
      <c r="W36" s="63" t="s">
        <v>1763</v>
      </c>
      <c r="X36" s="60" t="s">
        <v>1764</v>
      </c>
      <c r="Y36" s="62" t="s">
        <v>1765</v>
      </c>
      <c r="Z36" s="62" t="s">
        <v>1766</v>
      </c>
      <c r="AA36" s="62" t="s">
        <v>1767</v>
      </c>
      <c r="AB36" s="62" t="s">
        <v>1768</v>
      </c>
      <c r="AC36" s="62" t="s">
        <v>1769</v>
      </c>
      <c r="AD36" s="62" t="s">
        <v>1770</v>
      </c>
      <c r="AE36" s="63" t="s">
        <v>1771</v>
      </c>
      <c r="AF36" s="60" t="s">
        <v>1772</v>
      </c>
      <c r="AG36" s="62" t="s">
        <v>1773</v>
      </c>
      <c r="AH36" s="62" t="s">
        <v>1774</v>
      </c>
      <c r="AI36" s="62" t="s">
        <v>1775</v>
      </c>
      <c r="AJ36" s="61"/>
      <c r="AK36" s="62" t="s">
        <v>1776</v>
      </c>
      <c r="AL36" s="62" t="s">
        <v>1777</v>
      </c>
      <c r="AM36" s="62" t="s">
        <v>1778</v>
      </c>
      <c r="AN36" s="63" t="s">
        <v>1779</v>
      </c>
      <c r="AO36" s="60" t="s">
        <v>1780</v>
      </c>
      <c r="AP36" s="62" t="s">
        <v>1781</v>
      </c>
      <c r="AQ36" s="62" t="s">
        <v>1782</v>
      </c>
      <c r="AR36" s="62" t="s">
        <v>1783</v>
      </c>
      <c r="AS36" s="62" t="s">
        <v>1784</v>
      </c>
      <c r="AT36" s="63" t="s">
        <v>1785</v>
      </c>
      <c r="AU36" s="60" t="s">
        <v>1786</v>
      </c>
      <c r="AV36" s="63" t="s">
        <v>1787</v>
      </c>
      <c r="AW36" s="60" t="n">
        <v>36</v>
      </c>
      <c r="AX36" s="59" t="s">
        <v>41</v>
      </c>
      <c r="AY36" s="104"/>
      <c r="AZ36" s="104"/>
      <c r="BA36" s="57" t="n">
        <v>36</v>
      </c>
      <c r="BB36" s="74" t="n">
        <v>28</v>
      </c>
      <c r="BC36" s="122" t="s">
        <v>1788</v>
      </c>
      <c r="BD36" s="76" t="n">
        <v>0</v>
      </c>
      <c r="BE36" s="76" t="n">
        <f aca="false">_xlfn.RANK.EQ(BD36,$BD$9:$BD$48,0)</f>
        <v>1</v>
      </c>
    </row>
    <row r="37" customFormat="false" ht="18" hidden="false" customHeight="true" outlineLevel="0" collapsed="false">
      <c r="A37" s="66" t="s">
        <v>1789</v>
      </c>
      <c r="B37" s="68" t="s">
        <v>1790</v>
      </c>
      <c r="C37" s="68" t="s">
        <v>1791</v>
      </c>
      <c r="D37" s="68" t="s">
        <v>1792</v>
      </c>
      <c r="E37" s="68" t="s">
        <v>1793</v>
      </c>
      <c r="F37" s="68" t="s">
        <v>1794</v>
      </c>
      <c r="G37" s="68" t="s">
        <v>1795</v>
      </c>
      <c r="H37" s="68" t="s">
        <v>1796</v>
      </c>
      <c r="I37" s="68" t="s">
        <v>1797</v>
      </c>
      <c r="J37" s="68" t="s">
        <v>1798</v>
      </c>
      <c r="K37" s="69" t="s">
        <v>1799</v>
      </c>
      <c r="L37" s="66" t="s">
        <v>1800</v>
      </c>
      <c r="M37" s="68" t="s">
        <v>1801</v>
      </c>
      <c r="N37" s="68" t="s">
        <v>1802</v>
      </c>
      <c r="O37" s="68" t="s">
        <v>1803</v>
      </c>
      <c r="P37" s="68" t="s">
        <v>1804</v>
      </c>
      <c r="Q37" s="68" t="s">
        <v>1805</v>
      </c>
      <c r="R37" s="68" t="s">
        <v>1806</v>
      </c>
      <c r="S37" s="68" t="s">
        <v>1807</v>
      </c>
      <c r="T37" s="68" t="s">
        <v>1808</v>
      </c>
      <c r="U37" s="68" t="s">
        <v>1809</v>
      </c>
      <c r="V37" s="67" t="s">
        <v>1810</v>
      </c>
      <c r="W37" s="92" t="s">
        <v>1811</v>
      </c>
      <c r="X37" s="64" t="s">
        <v>1812</v>
      </c>
      <c r="Y37" s="67" t="s">
        <v>1813</v>
      </c>
      <c r="Z37" s="67" t="s">
        <v>1814</v>
      </c>
      <c r="AA37" s="67" t="s">
        <v>1815</v>
      </c>
      <c r="AB37" s="67" t="s">
        <v>1816</v>
      </c>
      <c r="AC37" s="67" t="s">
        <v>1817</v>
      </c>
      <c r="AD37" s="67" t="s">
        <v>1818</v>
      </c>
      <c r="AE37" s="92" t="s">
        <v>1819</v>
      </c>
      <c r="AF37" s="64" t="s">
        <v>1820</v>
      </c>
      <c r="AG37" s="67" t="s">
        <v>1821</v>
      </c>
      <c r="AH37" s="67" t="s">
        <v>1822</v>
      </c>
      <c r="AI37" s="67" t="s">
        <v>1823</v>
      </c>
      <c r="AJ37" s="67" t="s">
        <v>1824</v>
      </c>
      <c r="AK37" s="61"/>
      <c r="AL37" s="67" t="s">
        <v>1825</v>
      </c>
      <c r="AM37" s="67" t="s">
        <v>1826</v>
      </c>
      <c r="AN37" s="92" t="s">
        <v>1827</v>
      </c>
      <c r="AO37" s="64" t="s">
        <v>1828</v>
      </c>
      <c r="AP37" s="67" t="s">
        <v>1829</v>
      </c>
      <c r="AQ37" s="67" t="s">
        <v>1830</v>
      </c>
      <c r="AR37" s="67" t="s">
        <v>1831</v>
      </c>
      <c r="AS37" s="67" t="s">
        <v>1832</v>
      </c>
      <c r="AT37" s="92" t="s">
        <v>1833</v>
      </c>
      <c r="AU37" s="64" t="s">
        <v>1834</v>
      </c>
      <c r="AV37" s="92" t="s">
        <v>1835</v>
      </c>
      <c r="AW37" s="123" t="n">
        <v>37</v>
      </c>
      <c r="AX37" s="65" t="s">
        <v>42</v>
      </c>
      <c r="AY37" s="104"/>
      <c r="AZ37" s="104"/>
      <c r="BA37" s="57" t="n">
        <v>19</v>
      </c>
      <c r="BB37" s="74" t="n">
        <v>29</v>
      </c>
      <c r="BC37" s="122" t="s">
        <v>1836</v>
      </c>
      <c r="BD37" s="76" t="n">
        <v>0</v>
      </c>
      <c r="BE37" s="76" t="n">
        <f aca="false">_xlfn.RANK.EQ(BD37,$BD$9:$BD$48,0)</f>
        <v>1</v>
      </c>
    </row>
    <row r="38" customFormat="false" ht="18" hidden="false" customHeight="true" outlineLevel="0" collapsed="false">
      <c r="A38" s="60" t="s">
        <v>1838</v>
      </c>
      <c r="B38" s="62" t="s">
        <v>1839</v>
      </c>
      <c r="C38" s="62" t="s">
        <v>1840</v>
      </c>
      <c r="D38" s="62" t="s">
        <v>1841</v>
      </c>
      <c r="E38" s="62" t="s">
        <v>1842</v>
      </c>
      <c r="F38" s="62" t="s">
        <v>1843</v>
      </c>
      <c r="G38" s="62" t="s">
        <v>1844</v>
      </c>
      <c r="H38" s="62" t="s">
        <v>1845</v>
      </c>
      <c r="I38" s="62" t="s">
        <v>1846</v>
      </c>
      <c r="J38" s="62" t="s">
        <v>1847</v>
      </c>
      <c r="K38" s="63" t="s">
        <v>1848</v>
      </c>
      <c r="L38" s="60" t="s">
        <v>1849</v>
      </c>
      <c r="M38" s="62" t="s">
        <v>1850</v>
      </c>
      <c r="N38" s="62" t="s">
        <v>1851</v>
      </c>
      <c r="O38" s="62" t="s">
        <v>1852</v>
      </c>
      <c r="P38" s="62" t="s">
        <v>1853</v>
      </c>
      <c r="Q38" s="62" t="s">
        <v>1854</v>
      </c>
      <c r="R38" s="62" t="s">
        <v>1855</v>
      </c>
      <c r="S38" s="62" t="s">
        <v>1856</v>
      </c>
      <c r="T38" s="62" t="s">
        <v>1857</v>
      </c>
      <c r="U38" s="62" t="s">
        <v>1858</v>
      </c>
      <c r="V38" s="62" t="s">
        <v>1859</v>
      </c>
      <c r="W38" s="63" t="s">
        <v>1860</v>
      </c>
      <c r="X38" s="60" t="s">
        <v>1861</v>
      </c>
      <c r="Y38" s="62" t="s">
        <v>1862</v>
      </c>
      <c r="Z38" s="62" t="s">
        <v>1863</v>
      </c>
      <c r="AA38" s="62" t="s">
        <v>1864</v>
      </c>
      <c r="AB38" s="62" t="s">
        <v>1865</v>
      </c>
      <c r="AC38" s="62" t="s">
        <v>1866</v>
      </c>
      <c r="AD38" s="62" t="s">
        <v>1867</v>
      </c>
      <c r="AE38" s="63" t="s">
        <v>1868</v>
      </c>
      <c r="AF38" s="60" t="s">
        <v>1869</v>
      </c>
      <c r="AG38" s="62" t="s">
        <v>1870</v>
      </c>
      <c r="AH38" s="62" t="s">
        <v>1871</v>
      </c>
      <c r="AI38" s="62" t="s">
        <v>1872</v>
      </c>
      <c r="AJ38" s="62" t="s">
        <v>1873</v>
      </c>
      <c r="AK38" s="62" t="s">
        <v>1874</v>
      </c>
      <c r="AL38" s="61"/>
      <c r="AM38" s="62" t="s">
        <v>1875</v>
      </c>
      <c r="AN38" s="63" t="s">
        <v>1876</v>
      </c>
      <c r="AO38" s="60" t="s">
        <v>1877</v>
      </c>
      <c r="AP38" s="62" t="s">
        <v>1878</v>
      </c>
      <c r="AQ38" s="62" t="s">
        <v>1879</v>
      </c>
      <c r="AR38" s="62" t="s">
        <v>1880</v>
      </c>
      <c r="AS38" s="62" t="s">
        <v>1881</v>
      </c>
      <c r="AT38" s="63" t="s">
        <v>1882</v>
      </c>
      <c r="AU38" s="60" t="s">
        <v>1883</v>
      </c>
      <c r="AV38" s="63" t="s">
        <v>1884</v>
      </c>
      <c r="AW38" s="60" t="n">
        <v>38</v>
      </c>
      <c r="AX38" s="59" t="s">
        <v>1837</v>
      </c>
      <c r="AY38" s="104"/>
      <c r="AZ38" s="104"/>
      <c r="BA38" s="57" t="n">
        <v>29</v>
      </c>
      <c r="BB38" s="74" t="n">
        <v>30</v>
      </c>
      <c r="BC38" s="122" t="s">
        <v>1885</v>
      </c>
      <c r="BD38" s="76" t="n">
        <v>0</v>
      </c>
      <c r="BE38" s="76" t="n">
        <f aca="false">_xlfn.RANK.EQ(BD38,$BD$9:$BD$48,0)</f>
        <v>1</v>
      </c>
    </row>
    <row r="39" customFormat="false" ht="18" hidden="false" customHeight="true" outlineLevel="0" collapsed="false">
      <c r="A39" s="66" t="s">
        <v>1886</v>
      </c>
      <c r="B39" s="68" t="s">
        <v>1887</v>
      </c>
      <c r="C39" s="68" t="s">
        <v>1888</v>
      </c>
      <c r="D39" s="68" t="s">
        <v>1889</v>
      </c>
      <c r="E39" s="68" t="s">
        <v>1890</v>
      </c>
      <c r="F39" s="68" t="s">
        <v>1891</v>
      </c>
      <c r="G39" s="68" t="s">
        <v>1892</v>
      </c>
      <c r="H39" s="68" t="s">
        <v>1893</v>
      </c>
      <c r="I39" s="68" t="s">
        <v>1894</v>
      </c>
      <c r="J39" s="68" t="s">
        <v>1895</v>
      </c>
      <c r="K39" s="69" t="s">
        <v>1896</v>
      </c>
      <c r="L39" s="66" t="s">
        <v>1897</v>
      </c>
      <c r="M39" s="68" t="s">
        <v>1898</v>
      </c>
      <c r="N39" s="68" t="s">
        <v>1899</v>
      </c>
      <c r="O39" s="68" t="s">
        <v>1900</v>
      </c>
      <c r="P39" s="68" t="s">
        <v>1901</v>
      </c>
      <c r="Q39" s="68" t="s">
        <v>1902</v>
      </c>
      <c r="R39" s="68" t="s">
        <v>1903</v>
      </c>
      <c r="S39" s="68" t="s">
        <v>1904</v>
      </c>
      <c r="T39" s="68" t="s">
        <v>1905</v>
      </c>
      <c r="U39" s="68" t="s">
        <v>1906</v>
      </c>
      <c r="V39" s="67" t="s">
        <v>1907</v>
      </c>
      <c r="W39" s="92" t="s">
        <v>1908</v>
      </c>
      <c r="X39" s="64" t="s">
        <v>1909</v>
      </c>
      <c r="Y39" s="67" t="s">
        <v>1910</v>
      </c>
      <c r="Z39" s="67" t="s">
        <v>1911</v>
      </c>
      <c r="AA39" s="67" t="s">
        <v>1912</v>
      </c>
      <c r="AB39" s="67" t="s">
        <v>1913</v>
      </c>
      <c r="AC39" s="67" t="s">
        <v>1914</v>
      </c>
      <c r="AD39" s="67" t="s">
        <v>1915</v>
      </c>
      <c r="AE39" s="92" t="s">
        <v>1916</v>
      </c>
      <c r="AF39" s="64" t="s">
        <v>1917</v>
      </c>
      <c r="AG39" s="67" t="s">
        <v>1918</v>
      </c>
      <c r="AH39" s="67" t="s">
        <v>1919</v>
      </c>
      <c r="AI39" s="67" t="s">
        <v>1920</v>
      </c>
      <c r="AJ39" s="67" t="s">
        <v>1921</v>
      </c>
      <c r="AK39" s="67" t="s">
        <v>1922</v>
      </c>
      <c r="AL39" s="67" t="s">
        <v>1923</v>
      </c>
      <c r="AM39" s="61"/>
      <c r="AN39" s="92" t="s">
        <v>1924</v>
      </c>
      <c r="AO39" s="64" t="s">
        <v>1925</v>
      </c>
      <c r="AP39" s="67" t="s">
        <v>1926</v>
      </c>
      <c r="AQ39" s="67" t="s">
        <v>1927</v>
      </c>
      <c r="AR39" s="67" t="s">
        <v>1928</v>
      </c>
      <c r="AS39" s="67" t="s">
        <v>1929</v>
      </c>
      <c r="AT39" s="92" t="s">
        <v>1930</v>
      </c>
      <c r="AU39" s="64" t="s">
        <v>1931</v>
      </c>
      <c r="AV39" s="92" t="s">
        <v>1932</v>
      </c>
      <c r="AW39" s="123" t="n">
        <v>39</v>
      </c>
      <c r="AX39" s="65" t="s">
        <v>44</v>
      </c>
      <c r="AY39" s="104"/>
      <c r="AZ39" s="104"/>
      <c r="BA39" s="57" t="n">
        <v>78</v>
      </c>
      <c r="BB39" s="74" t="n">
        <v>31</v>
      </c>
      <c r="BC39" s="122" t="s">
        <v>1933</v>
      </c>
      <c r="BD39" s="76" t="n">
        <v>0</v>
      </c>
      <c r="BE39" s="76" t="n">
        <f aca="false">_xlfn.RANK.EQ(BD39,$BD$9:$BD$48,0)</f>
        <v>1</v>
      </c>
    </row>
    <row r="40" customFormat="false" ht="18" hidden="false" customHeight="true" outlineLevel="0" collapsed="false">
      <c r="A40" s="105" t="s">
        <v>1935</v>
      </c>
      <c r="B40" s="107" t="s">
        <v>1936</v>
      </c>
      <c r="C40" s="107" t="s">
        <v>1937</v>
      </c>
      <c r="D40" s="107" t="s">
        <v>1938</v>
      </c>
      <c r="E40" s="107" t="s">
        <v>1939</v>
      </c>
      <c r="F40" s="107" t="s">
        <v>1940</v>
      </c>
      <c r="G40" s="107" t="s">
        <v>1941</v>
      </c>
      <c r="H40" s="107" t="s">
        <v>1942</v>
      </c>
      <c r="I40" s="107" t="s">
        <v>1943</v>
      </c>
      <c r="J40" s="107" t="s">
        <v>1944</v>
      </c>
      <c r="K40" s="108" t="s">
        <v>1945</v>
      </c>
      <c r="L40" s="105" t="s">
        <v>1946</v>
      </c>
      <c r="M40" s="107" t="s">
        <v>1947</v>
      </c>
      <c r="N40" s="107" t="s">
        <v>1948</v>
      </c>
      <c r="O40" s="107" t="s">
        <v>1949</v>
      </c>
      <c r="P40" s="107" t="s">
        <v>1950</v>
      </c>
      <c r="Q40" s="107" t="s">
        <v>1951</v>
      </c>
      <c r="R40" s="107" t="s">
        <v>1952</v>
      </c>
      <c r="S40" s="107" t="s">
        <v>1953</v>
      </c>
      <c r="T40" s="107" t="s">
        <v>1954</v>
      </c>
      <c r="U40" s="107" t="s">
        <v>1955</v>
      </c>
      <c r="V40" s="107" t="s">
        <v>1956</v>
      </c>
      <c r="W40" s="108" t="s">
        <v>1957</v>
      </c>
      <c r="X40" s="105" t="s">
        <v>1958</v>
      </c>
      <c r="Y40" s="107" t="s">
        <v>1959</v>
      </c>
      <c r="Z40" s="107" t="s">
        <v>1960</v>
      </c>
      <c r="AA40" s="107" t="s">
        <v>1961</v>
      </c>
      <c r="AB40" s="107" t="s">
        <v>1962</v>
      </c>
      <c r="AC40" s="107" t="s">
        <v>1963</v>
      </c>
      <c r="AD40" s="107" t="s">
        <v>1964</v>
      </c>
      <c r="AE40" s="108" t="s">
        <v>1965</v>
      </c>
      <c r="AF40" s="105" t="s">
        <v>1966</v>
      </c>
      <c r="AG40" s="107" t="s">
        <v>1967</v>
      </c>
      <c r="AH40" s="107" t="s">
        <v>1968</v>
      </c>
      <c r="AI40" s="107" t="s">
        <v>1969</v>
      </c>
      <c r="AJ40" s="107" t="s">
        <v>1970</v>
      </c>
      <c r="AK40" s="107" t="s">
        <v>1971</v>
      </c>
      <c r="AL40" s="107" t="s">
        <v>1972</v>
      </c>
      <c r="AM40" s="107" t="s">
        <v>1973</v>
      </c>
      <c r="AN40" s="98"/>
      <c r="AO40" s="105" t="s">
        <v>1974</v>
      </c>
      <c r="AP40" s="107" t="s">
        <v>1975</v>
      </c>
      <c r="AQ40" s="107" t="s">
        <v>1976</v>
      </c>
      <c r="AR40" s="107" t="s">
        <v>1977</v>
      </c>
      <c r="AS40" s="107" t="s">
        <v>1978</v>
      </c>
      <c r="AT40" s="108" t="s">
        <v>1979</v>
      </c>
      <c r="AU40" s="105" t="s">
        <v>1980</v>
      </c>
      <c r="AV40" s="108" t="s">
        <v>1981</v>
      </c>
      <c r="AW40" s="105" t="n">
        <v>40</v>
      </c>
      <c r="AX40" s="125" t="s">
        <v>1934</v>
      </c>
      <c r="AY40" s="104"/>
      <c r="AZ40" s="104"/>
      <c r="BA40" s="57" t="n">
        <v>10</v>
      </c>
      <c r="BB40" s="74" t="n">
        <v>32</v>
      </c>
      <c r="BC40" s="122" t="s">
        <v>1982</v>
      </c>
      <c r="BD40" s="76" t="n">
        <v>0</v>
      </c>
      <c r="BE40" s="76" t="n">
        <f aca="false">_xlfn.RANK.EQ(BD40,$BD$9:$BD$48,0)</f>
        <v>1</v>
      </c>
    </row>
    <row r="41" customFormat="false" ht="18" hidden="false" customHeight="true" outlineLevel="0" collapsed="false">
      <c r="A41" s="56" t="s">
        <v>1984</v>
      </c>
      <c r="B41" s="54" t="s">
        <v>1985</v>
      </c>
      <c r="C41" s="54" t="s">
        <v>1986</v>
      </c>
      <c r="D41" s="54" t="s">
        <v>1987</v>
      </c>
      <c r="E41" s="54" t="s">
        <v>1988</v>
      </c>
      <c r="F41" s="54" t="s">
        <v>1989</v>
      </c>
      <c r="G41" s="54" t="s">
        <v>1990</v>
      </c>
      <c r="H41" s="54" t="s">
        <v>1991</v>
      </c>
      <c r="I41" s="54" t="s">
        <v>1992</v>
      </c>
      <c r="J41" s="54" t="s">
        <v>1993</v>
      </c>
      <c r="K41" s="55" t="s">
        <v>1994</v>
      </c>
      <c r="L41" s="56" t="s">
        <v>1995</v>
      </c>
      <c r="M41" s="54" t="s">
        <v>1996</v>
      </c>
      <c r="N41" s="54" t="s">
        <v>1997</v>
      </c>
      <c r="O41" s="54" t="s">
        <v>1998</v>
      </c>
      <c r="P41" s="54" t="s">
        <v>1999</v>
      </c>
      <c r="Q41" s="54" t="s">
        <v>2000</v>
      </c>
      <c r="R41" s="54" t="s">
        <v>2001</v>
      </c>
      <c r="S41" s="54" t="s">
        <v>2002</v>
      </c>
      <c r="T41" s="54" t="s">
        <v>2003</v>
      </c>
      <c r="U41" s="54" t="s">
        <v>2004</v>
      </c>
      <c r="V41" s="112" t="s">
        <v>2005</v>
      </c>
      <c r="W41" s="113" t="s">
        <v>2006</v>
      </c>
      <c r="X41" s="110" t="s">
        <v>2007</v>
      </c>
      <c r="Y41" s="112" t="s">
        <v>2008</v>
      </c>
      <c r="Z41" s="112" t="s">
        <v>2009</v>
      </c>
      <c r="AA41" s="112" t="s">
        <v>2010</v>
      </c>
      <c r="AB41" s="112" t="s">
        <v>2011</v>
      </c>
      <c r="AC41" s="112" t="s">
        <v>2012</v>
      </c>
      <c r="AD41" s="112" t="s">
        <v>2013</v>
      </c>
      <c r="AE41" s="113" t="s">
        <v>2014</v>
      </c>
      <c r="AF41" s="110" t="s">
        <v>2015</v>
      </c>
      <c r="AG41" s="112" t="s">
        <v>2016</v>
      </c>
      <c r="AH41" s="112" t="s">
        <v>2017</v>
      </c>
      <c r="AI41" s="112" t="s">
        <v>2018</v>
      </c>
      <c r="AJ41" s="112" t="s">
        <v>2019</v>
      </c>
      <c r="AK41" s="112" t="s">
        <v>2020</v>
      </c>
      <c r="AL41" s="112" t="s">
        <v>2021</v>
      </c>
      <c r="AM41" s="112" t="s">
        <v>2022</v>
      </c>
      <c r="AN41" s="113" t="s">
        <v>2023</v>
      </c>
      <c r="AO41" s="53"/>
      <c r="AP41" s="112" t="s">
        <v>2024</v>
      </c>
      <c r="AQ41" s="112" t="s">
        <v>2025</v>
      </c>
      <c r="AR41" s="112" t="s">
        <v>2026</v>
      </c>
      <c r="AS41" s="112" t="s">
        <v>2027</v>
      </c>
      <c r="AT41" s="113" t="s">
        <v>2028</v>
      </c>
      <c r="AU41" s="110" t="s">
        <v>2029</v>
      </c>
      <c r="AV41" s="113" t="s">
        <v>2030</v>
      </c>
      <c r="AW41" s="126" t="n">
        <v>41</v>
      </c>
      <c r="AX41" s="52" t="s">
        <v>1983</v>
      </c>
      <c r="AY41" s="127" t="s">
        <v>4</v>
      </c>
      <c r="AZ41" s="127"/>
      <c r="BA41" s="57" t="n">
        <v>8</v>
      </c>
      <c r="BB41" s="74" t="n">
        <v>33</v>
      </c>
      <c r="BC41" s="122" t="s">
        <v>2031</v>
      </c>
      <c r="BD41" s="76" t="n">
        <v>0</v>
      </c>
      <c r="BE41" s="76" t="n">
        <f aca="false">_xlfn.RANK.EQ(BD41,$BD$9:$BD$48,0)</f>
        <v>1</v>
      </c>
    </row>
    <row r="42" customFormat="false" ht="18" hidden="false" customHeight="true" outlineLevel="0" collapsed="false">
      <c r="A42" s="60" t="s">
        <v>2033</v>
      </c>
      <c r="B42" s="62" t="s">
        <v>2034</v>
      </c>
      <c r="C42" s="62" t="s">
        <v>2035</v>
      </c>
      <c r="D42" s="62" t="s">
        <v>2036</v>
      </c>
      <c r="E42" s="62" t="s">
        <v>2037</v>
      </c>
      <c r="F42" s="62" t="s">
        <v>2038</v>
      </c>
      <c r="G42" s="62" t="s">
        <v>2039</v>
      </c>
      <c r="H42" s="62" t="s">
        <v>2040</v>
      </c>
      <c r="I42" s="62" t="s">
        <v>2041</v>
      </c>
      <c r="J42" s="62" t="s">
        <v>2042</v>
      </c>
      <c r="K42" s="63" t="s">
        <v>2043</v>
      </c>
      <c r="L42" s="60" t="s">
        <v>2044</v>
      </c>
      <c r="M42" s="62" t="s">
        <v>2045</v>
      </c>
      <c r="N42" s="62" t="s">
        <v>2046</v>
      </c>
      <c r="O42" s="62" t="s">
        <v>2047</v>
      </c>
      <c r="P42" s="62" t="s">
        <v>2048</v>
      </c>
      <c r="Q42" s="62" t="s">
        <v>2049</v>
      </c>
      <c r="R42" s="62" t="s">
        <v>2050</v>
      </c>
      <c r="S42" s="62" t="s">
        <v>2051</v>
      </c>
      <c r="T42" s="62" t="s">
        <v>2052</v>
      </c>
      <c r="U42" s="62" t="s">
        <v>2053</v>
      </c>
      <c r="V42" s="62" t="s">
        <v>2054</v>
      </c>
      <c r="W42" s="63" t="s">
        <v>2055</v>
      </c>
      <c r="X42" s="60" t="s">
        <v>2056</v>
      </c>
      <c r="Y42" s="62" t="s">
        <v>2057</v>
      </c>
      <c r="Z42" s="62" t="s">
        <v>2058</v>
      </c>
      <c r="AA42" s="62" t="s">
        <v>2059</v>
      </c>
      <c r="AB42" s="62" t="s">
        <v>2060</v>
      </c>
      <c r="AC42" s="62" t="s">
        <v>2061</v>
      </c>
      <c r="AD42" s="62" t="s">
        <v>2062</v>
      </c>
      <c r="AE42" s="63" t="s">
        <v>2063</v>
      </c>
      <c r="AF42" s="60" t="s">
        <v>2064</v>
      </c>
      <c r="AG42" s="62" t="s">
        <v>2065</v>
      </c>
      <c r="AH42" s="62" t="s">
        <v>2066</v>
      </c>
      <c r="AI42" s="62" t="s">
        <v>2067</v>
      </c>
      <c r="AJ42" s="62" t="s">
        <v>2068</v>
      </c>
      <c r="AK42" s="62" t="s">
        <v>2069</v>
      </c>
      <c r="AL42" s="62" t="s">
        <v>2070</v>
      </c>
      <c r="AM42" s="62" t="s">
        <v>2071</v>
      </c>
      <c r="AN42" s="63" t="s">
        <v>2072</v>
      </c>
      <c r="AO42" s="60" t="s">
        <v>2073</v>
      </c>
      <c r="AP42" s="61"/>
      <c r="AQ42" s="62" t="s">
        <v>2074</v>
      </c>
      <c r="AR42" s="62" t="s">
        <v>2075</v>
      </c>
      <c r="AS42" s="62" t="s">
        <v>2076</v>
      </c>
      <c r="AT42" s="63" t="s">
        <v>2077</v>
      </c>
      <c r="AU42" s="60" t="s">
        <v>2078</v>
      </c>
      <c r="AV42" s="63" t="s">
        <v>2079</v>
      </c>
      <c r="AW42" s="60" t="n">
        <v>42</v>
      </c>
      <c r="AX42" s="59" t="s">
        <v>2032</v>
      </c>
      <c r="AY42" s="127"/>
      <c r="AZ42" s="127"/>
      <c r="BA42" s="57" t="n">
        <v>20</v>
      </c>
      <c r="BB42" s="74" t="n">
        <v>34</v>
      </c>
      <c r="BC42" s="122" t="s">
        <v>2080</v>
      </c>
      <c r="BD42" s="76" t="n">
        <v>0</v>
      </c>
      <c r="BE42" s="76" t="n">
        <f aca="false">_xlfn.RANK.EQ(BD42,$BD$9:$BD$48,0)</f>
        <v>1</v>
      </c>
    </row>
    <row r="43" customFormat="false" ht="18" hidden="false" customHeight="true" outlineLevel="0" collapsed="false">
      <c r="A43" s="66" t="s">
        <v>2081</v>
      </c>
      <c r="B43" s="68" t="s">
        <v>2082</v>
      </c>
      <c r="C43" s="68" t="s">
        <v>2083</v>
      </c>
      <c r="D43" s="68" t="s">
        <v>2084</v>
      </c>
      <c r="E43" s="68" t="s">
        <v>2085</v>
      </c>
      <c r="F43" s="68" t="s">
        <v>2086</v>
      </c>
      <c r="G43" s="68" t="s">
        <v>2087</v>
      </c>
      <c r="H43" s="67" t="s">
        <v>2088</v>
      </c>
      <c r="I43" s="68" t="s">
        <v>2089</v>
      </c>
      <c r="J43" s="68" t="s">
        <v>2090</v>
      </c>
      <c r="K43" s="69" t="s">
        <v>2091</v>
      </c>
      <c r="L43" s="66" t="s">
        <v>2092</v>
      </c>
      <c r="M43" s="68" t="s">
        <v>2093</v>
      </c>
      <c r="N43" s="68" t="s">
        <v>2094</v>
      </c>
      <c r="O43" s="68" t="s">
        <v>2095</v>
      </c>
      <c r="P43" s="68" t="s">
        <v>2096</v>
      </c>
      <c r="Q43" s="68" t="s">
        <v>2097</v>
      </c>
      <c r="R43" s="68" t="s">
        <v>2098</v>
      </c>
      <c r="S43" s="68" t="s">
        <v>2099</v>
      </c>
      <c r="T43" s="68" t="s">
        <v>2100</v>
      </c>
      <c r="U43" s="68" t="s">
        <v>2101</v>
      </c>
      <c r="V43" s="67" t="s">
        <v>2102</v>
      </c>
      <c r="W43" s="92" t="s">
        <v>2103</v>
      </c>
      <c r="X43" s="64" t="s">
        <v>2104</v>
      </c>
      <c r="Y43" s="67" t="s">
        <v>2105</v>
      </c>
      <c r="Z43" s="67" t="s">
        <v>2106</v>
      </c>
      <c r="AA43" s="67" t="s">
        <v>2107</v>
      </c>
      <c r="AB43" s="67" t="s">
        <v>2108</v>
      </c>
      <c r="AC43" s="67" t="s">
        <v>2109</v>
      </c>
      <c r="AD43" s="67" t="s">
        <v>2110</v>
      </c>
      <c r="AE43" s="92" t="s">
        <v>2111</v>
      </c>
      <c r="AF43" s="64" t="s">
        <v>2112</v>
      </c>
      <c r="AG43" s="67" t="s">
        <v>2113</v>
      </c>
      <c r="AH43" s="67" t="s">
        <v>2114</v>
      </c>
      <c r="AI43" s="67" t="s">
        <v>2115</v>
      </c>
      <c r="AJ43" s="67" t="s">
        <v>2116</v>
      </c>
      <c r="AK43" s="67" t="s">
        <v>2117</v>
      </c>
      <c r="AL43" s="67" t="s">
        <v>2118</v>
      </c>
      <c r="AM43" s="67" t="s">
        <v>2119</v>
      </c>
      <c r="AN43" s="92" t="s">
        <v>2120</v>
      </c>
      <c r="AO43" s="64" t="s">
        <v>2121</v>
      </c>
      <c r="AP43" s="67" t="s">
        <v>2122</v>
      </c>
      <c r="AQ43" s="61"/>
      <c r="AR43" s="67" t="s">
        <v>2123</v>
      </c>
      <c r="AS43" s="67" t="s">
        <v>2124</v>
      </c>
      <c r="AT43" s="92" t="s">
        <v>2125</v>
      </c>
      <c r="AU43" s="64" t="s">
        <v>2126</v>
      </c>
      <c r="AV43" s="92" t="s">
        <v>2127</v>
      </c>
      <c r="AW43" s="123" t="n">
        <v>43</v>
      </c>
      <c r="AX43" s="65" t="s">
        <v>48</v>
      </c>
      <c r="AY43" s="127"/>
      <c r="AZ43" s="127"/>
      <c r="BA43" s="57" t="n">
        <v>8</v>
      </c>
      <c r="BB43" s="74" t="n">
        <v>35</v>
      </c>
      <c r="BC43" s="122" t="s">
        <v>2128</v>
      </c>
      <c r="BD43" s="76" t="n">
        <v>0</v>
      </c>
      <c r="BE43" s="76" t="n">
        <f aca="false">_xlfn.RANK.EQ(BD43,$BD$9:$BD$48,0)</f>
        <v>1</v>
      </c>
    </row>
    <row r="44" customFormat="false" ht="18" hidden="false" customHeight="true" outlineLevel="0" collapsed="false">
      <c r="A44" s="60" t="s">
        <v>2129</v>
      </c>
      <c r="B44" s="62" t="s">
        <v>2130</v>
      </c>
      <c r="C44" s="62" t="s">
        <v>2131</v>
      </c>
      <c r="D44" s="62" t="s">
        <v>2132</v>
      </c>
      <c r="E44" s="62" t="s">
        <v>2133</v>
      </c>
      <c r="F44" s="62" t="s">
        <v>2134</v>
      </c>
      <c r="G44" s="62" t="s">
        <v>2135</v>
      </c>
      <c r="H44" s="62" t="s">
        <v>2136</v>
      </c>
      <c r="I44" s="62" t="s">
        <v>2137</v>
      </c>
      <c r="J44" s="62" t="s">
        <v>2138</v>
      </c>
      <c r="K44" s="63" t="s">
        <v>2139</v>
      </c>
      <c r="L44" s="60" t="s">
        <v>2140</v>
      </c>
      <c r="M44" s="62" t="s">
        <v>2141</v>
      </c>
      <c r="N44" s="62" t="s">
        <v>2142</v>
      </c>
      <c r="O44" s="62" t="s">
        <v>2143</v>
      </c>
      <c r="P44" s="62" t="s">
        <v>2144</v>
      </c>
      <c r="Q44" s="62" t="s">
        <v>2145</v>
      </c>
      <c r="R44" s="62" t="s">
        <v>2146</v>
      </c>
      <c r="S44" s="62" t="s">
        <v>2147</v>
      </c>
      <c r="T44" s="62" t="s">
        <v>2148</v>
      </c>
      <c r="U44" s="62" t="s">
        <v>2149</v>
      </c>
      <c r="V44" s="62" t="s">
        <v>2150</v>
      </c>
      <c r="W44" s="63" t="s">
        <v>2151</v>
      </c>
      <c r="X44" s="60" t="s">
        <v>2152</v>
      </c>
      <c r="Y44" s="62" t="s">
        <v>2153</v>
      </c>
      <c r="Z44" s="62" t="s">
        <v>2154</v>
      </c>
      <c r="AA44" s="62" t="s">
        <v>2155</v>
      </c>
      <c r="AB44" s="62" t="s">
        <v>2156</v>
      </c>
      <c r="AC44" s="62" t="s">
        <v>2157</v>
      </c>
      <c r="AD44" s="62" t="s">
        <v>2158</v>
      </c>
      <c r="AE44" s="63" t="s">
        <v>2159</v>
      </c>
      <c r="AF44" s="60" t="s">
        <v>2160</v>
      </c>
      <c r="AG44" s="62" t="s">
        <v>2161</v>
      </c>
      <c r="AH44" s="62" t="s">
        <v>2162</v>
      </c>
      <c r="AI44" s="62" t="s">
        <v>2163</v>
      </c>
      <c r="AJ44" s="62" t="s">
        <v>2164</v>
      </c>
      <c r="AK44" s="62" t="s">
        <v>2165</v>
      </c>
      <c r="AL44" s="62" t="s">
        <v>2166</v>
      </c>
      <c r="AM44" s="62" t="s">
        <v>2167</v>
      </c>
      <c r="AN44" s="63" t="s">
        <v>2168</v>
      </c>
      <c r="AO44" s="60" t="s">
        <v>2169</v>
      </c>
      <c r="AP44" s="62" t="s">
        <v>2170</v>
      </c>
      <c r="AQ44" s="62" t="s">
        <v>2171</v>
      </c>
      <c r="AR44" s="61"/>
      <c r="AS44" s="62" t="s">
        <v>2172</v>
      </c>
      <c r="AT44" s="63" t="s">
        <v>2173</v>
      </c>
      <c r="AU44" s="60" t="s">
        <v>2174</v>
      </c>
      <c r="AV44" s="63" t="s">
        <v>2175</v>
      </c>
      <c r="AW44" s="60" t="n">
        <v>44</v>
      </c>
      <c r="AX44" s="59" t="s">
        <v>49</v>
      </c>
      <c r="AY44" s="127"/>
      <c r="AZ44" s="127"/>
      <c r="BA44" s="57" t="n">
        <v>25</v>
      </c>
      <c r="BB44" s="74" t="n">
        <v>36</v>
      </c>
      <c r="BC44" s="122" t="s">
        <v>2176</v>
      </c>
      <c r="BD44" s="76" t="n">
        <v>0</v>
      </c>
      <c r="BE44" s="76" t="n">
        <f aca="false">_xlfn.RANK.EQ(BD44,$BD$9:$BD$48,0)</f>
        <v>1</v>
      </c>
    </row>
    <row r="45" customFormat="false" ht="18" hidden="false" customHeight="true" outlineLevel="0" collapsed="false">
      <c r="A45" s="66" t="s">
        <v>2177</v>
      </c>
      <c r="B45" s="68" t="s">
        <v>2178</v>
      </c>
      <c r="C45" s="68" t="s">
        <v>2179</v>
      </c>
      <c r="D45" s="68" t="s">
        <v>2180</v>
      </c>
      <c r="E45" s="68" t="s">
        <v>2181</v>
      </c>
      <c r="F45" s="68" t="s">
        <v>2182</v>
      </c>
      <c r="G45" s="68" t="s">
        <v>2183</v>
      </c>
      <c r="H45" s="68" t="s">
        <v>2184</v>
      </c>
      <c r="I45" s="68" t="s">
        <v>2185</v>
      </c>
      <c r="J45" s="68" t="s">
        <v>2186</v>
      </c>
      <c r="K45" s="69" t="s">
        <v>2187</v>
      </c>
      <c r="L45" s="66" t="s">
        <v>2188</v>
      </c>
      <c r="M45" s="68" t="s">
        <v>2189</v>
      </c>
      <c r="N45" s="68" t="s">
        <v>2190</v>
      </c>
      <c r="O45" s="68" t="s">
        <v>2191</v>
      </c>
      <c r="P45" s="68" t="s">
        <v>2192</v>
      </c>
      <c r="Q45" s="68" t="s">
        <v>2193</v>
      </c>
      <c r="R45" s="68" t="s">
        <v>2194</v>
      </c>
      <c r="S45" s="68" t="s">
        <v>2195</v>
      </c>
      <c r="T45" s="68" t="s">
        <v>2196</v>
      </c>
      <c r="U45" s="68" t="s">
        <v>2197</v>
      </c>
      <c r="V45" s="67" t="s">
        <v>2198</v>
      </c>
      <c r="W45" s="92" t="s">
        <v>2199</v>
      </c>
      <c r="X45" s="64" t="s">
        <v>2200</v>
      </c>
      <c r="Y45" s="67" t="s">
        <v>2201</v>
      </c>
      <c r="Z45" s="67" t="s">
        <v>2202</v>
      </c>
      <c r="AA45" s="67" t="s">
        <v>2203</v>
      </c>
      <c r="AB45" s="67" t="s">
        <v>2204</v>
      </c>
      <c r="AC45" s="67" t="s">
        <v>2205</v>
      </c>
      <c r="AD45" s="67" t="s">
        <v>2206</v>
      </c>
      <c r="AE45" s="92" t="s">
        <v>2207</v>
      </c>
      <c r="AF45" s="64" t="s">
        <v>2208</v>
      </c>
      <c r="AG45" s="67" t="s">
        <v>2209</v>
      </c>
      <c r="AH45" s="67" t="s">
        <v>2210</v>
      </c>
      <c r="AI45" s="67" t="s">
        <v>2211</v>
      </c>
      <c r="AJ45" s="67" t="s">
        <v>2212</v>
      </c>
      <c r="AK45" s="67" t="s">
        <v>2213</v>
      </c>
      <c r="AL45" s="67" t="s">
        <v>2214</v>
      </c>
      <c r="AM45" s="67" t="s">
        <v>2215</v>
      </c>
      <c r="AN45" s="92" t="s">
        <v>2216</v>
      </c>
      <c r="AO45" s="64" t="s">
        <v>2217</v>
      </c>
      <c r="AP45" s="67" t="s">
        <v>2218</v>
      </c>
      <c r="AQ45" s="67" t="s">
        <v>2219</v>
      </c>
      <c r="AR45" s="67" t="s">
        <v>2220</v>
      </c>
      <c r="AS45" s="61"/>
      <c r="AT45" s="92" t="s">
        <v>2221</v>
      </c>
      <c r="AU45" s="64" t="s">
        <v>2222</v>
      </c>
      <c r="AV45" s="92" t="s">
        <v>2223</v>
      </c>
      <c r="AW45" s="123" t="n">
        <v>45</v>
      </c>
      <c r="AX45" s="65" t="s">
        <v>50</v>
      </c>
      <c r="AY45" s="127"/>
      <c r="AZ45" s="127"/>
      <c r="BA45" s="57" t="n">
        <v>14</v>
      </c>
      <c r="BB45" s="74" t="n">
        <v>37</v>
      </c>
      <c r="BC45" s="122" t="s">
        <v>2224</v>
      </c>
      <c r="BD45" s="76" t="n">
        <v>0</v>
      </c>
      <c r="BE45" s="76" t="n">
        <f aca="false">_xlfn.RANK.EQ(BD45,$BD$9:$BD$48,0)</f>
        <v>1</v>
      </c>
    </row>
    <row r="46" customFormat="false" ht="18" hidden="false" customHeight="true" outlineLevel="0" collapsed="false">
      <c r="A46" s="105" t="s">
        <v>2225</v>
      </c>
      <c r="B46" s="107" t="s">
        <v>2226</v>
      </c>
      <c r="C46" s="107" t="s">
        <v>2227</v>
      </c>
      <c r="D46" s="107" t="s">
        <v>2228</v>
      </c>
      <c r="E46" s="107" t="s">
        <v>2229</v>
      </c>
      <c r="F46" s="107" t="s">
        <v>2230</v>
      </c>
      <c r="G46" s="107" t="s">
        <v>2231</v>
      </c>
      <c r="H46" s="107" t="s">
        <v>2232</v>
      </c>
      <c r="I46" s="107" t="s">
        <v>2233</v>
      </c>
      <c r="J46" s="107" t="s">
        <v>2234</v>
      </c>
      <c r="K46" s="108" t="s">
        <v>2235</v>
      </c>
      <c r="L46" s="105" t="s">
        <v>2236</v>
      </c>
      <c r="M46" s="107" t="s">
        <v>2237</v>
      </c>
      <c r="N46" s="107" t="s">
        <v>2238</v>
      </c>
      <c r="O46" s="107" t="s">
        <v>2239</v>
      </c>
      <c r="P46" s="107" t="s">
        <v>2240</v>
      </c>
      <c r="Q46" s="107" t="s">
        <v>2241</v>
      </c>
      <c r="R46" s="107" t="s">
        <v>2242</v>
      </c>
      <c r="S46" s="107" t="s">
        <v>2243</v>
      </c>
      <c r="T46" s="107" t="s">
        <v>2244</v>
      </c>
      <c r="U46" s="107" t="s">
        <v>2245</v>
      </c>
      <c r="V46" s="107" t="s">
        <v>2246</v>
      </c>
      <c r="W46" s="108" t="s">
        <v>2247</v>
      </c>
      <c r="X46" s="105" t="s">
        <v>2248</v>
      </c>
      <c r="Y46" s="107" t="s">
        <v>2249</v>
      </c>
      <c r="Z46" s="107" t="s">
        <v>2250</v>
      </c>
      <c r="AA46" s="107" t="s">
        <v>2251</v>
      </c>
      <c r="AB46" s="107" t="s">
        <v>2252</v>
      </c>
      <c r="AC46" s="107" t="s">
        <v>2253</v>
      </c>
      <c r="AD46" s="107" t="s">
        <v>2254</v>
      </c>
      <c r="AE46" s="108" t="s">
        <v>2255</v>
      </c>
      <c r="AF46" s="105" t="s">
        <v>2256</v>
      </c>
      <c r="AG46" s="107" t="s">
        <v>2257</v>
      </c>
      <c r="AH46" s="107" t="s">
        <v>2258</v>
      </c>
      <c r="AI46" s="107" t="s">
        <v>2259</v>
      </c>
      <c r="AJ46" s="107" t="s">
        <v>2260</v>
      </c>
      <c r="AK46" s="107" t="s">
        <v>2261</v>
      </c>
      <c r="AL46" s="107" t="s">
        <v>2262</v>
      </c>
      <c r="AM46" s="107" t="s">
        <v>2263</v>
      </c>
      <c r="AN46" s="108" t="s">
        <v>2264</v>
      </c>
      <c r="AO46" s="105" t="s">
        <v>2265</v>
      </c>
      <c r="AP46" s="107" t="s">
        <v>2266</v>
      </c>
      <c r="AQ46" s="107" t="s">
        <v>2267</v>
      </c>
      <c r="AR46" s="107" t="s">
        <v>2268</v>
      </c>
      <c r="AS46" s="107" t="s">
        <v>2269</v>
      </c>
      <c r="AT46" s="98"/>
      <c r="AU46" s="105" t="s">
        <v>2270</v>
      </c>
      <c r="AV46" s="108" t="s">
        <v>2271</v>
      </c>
      <c r="AW46" s="105" t="n">
        <v>46</v>
      </c>
      <c r="AX46" s="129" t="s">
        <v>51</v>
      </c>
      <c r="AY46" s="127"/>
      <c r="AZ46" s="127"/>
      <c r="BA46" s="57" t="n">
        <v>64</v>
      </c>
      <c r="BB46" s="74" t="n">
        <v>38</v>
      </c>
      <c r="BC46" s="122" t="s">
        <v>2272</v>
      </c>
      <c r="BD46" s="76" t="n">
        <v>0</v>
      </c>
      <c r="BE46" s="76" t="n">
        <f aca="false">_xlfn.RANK.EQ(BD46,$BD$9:$BD$48,0)</f>
        <v>1</v>
      </c>
    </row>
    <row r="47" customFormat="false" ht="18" hidden="false" customHeight="true" outlineLevel="0" collapsed="false">
      <c r="A47" s="56" t="s">
        <v>2274</v>
      </c>
      <c r="B47" s="54" t="s">
        <v>2275</v>
      </c>
      <c r="C47" s="54" t="s">
        <v>2276</v>
      </c>
      <c r="D47" s="54" t="s">
        <v>2277</v>
      </c>
      <c r="E47" s="54" t="s">
        <v>2278</v>
      </c>
      <c r="F47" s="54" t="s">
        <v>2279</v>
      </c>
      <c r="G47" s="54" t="s">
        <v>2280</v>
      </c>
      <c r="H47" s="54" t="s">
        <v>2281</v>
      </c>
      <c r="I47" s="54" t="s">
        <v>2282</v>
      </c>
      <c r="J47" s="54" t="s">
        <v>2283</v>
      </c>
      <c r="K47" s="55" t="s">
        <v>2284</v>
      </c>
      <c r="L47" s="56" t="s">
        <v>2285</v>
      </c>
      <c r="M47" s="54" t="s">
        <v>2286</v>
      </c>
      <c r="N47" s="54" t="s">
        <v>2287</v>
      </c>
      <c r="O47" s="54" t="s">
        <v>2288</v>
      </c>
      <c r="P47" s="54" t="s">
        <v>2289</v>
      </c>
      <c r="Q47" s="54" t="s">
        <v>2290</v>
      </c>
      <c r="R47" s="54" t="s">
        <v>2291</v>
      </c>
      <c r="S47" s="54" t="s">
        <v>2292</v>
      </c>
      <c r="T47" s="54" t="s">
        <v>2293</v>
      </c>
      <c r="U47" s="54" t="s">
        <v>2294</v>
      </c>
      <c r="V47" s="112" t="s">
        <v>2295</v>
      </c>
      <c r="W47" s="113" t="s">
        <v>2296</v>
      </c>
      <c r="X47" s="110" t="s">
        <v>2297</v>
      </c>
      <c r="Y47" s="112" t="s">
        <v>2298</v>
      </c>
      <c r="Z47" s="112" t="s">
        <v>2299</v>
      </c>
      <c r="AA47" s="112" t="s">
        <v>2300</v>
      </c>
      <c r="AB47" s="112" t="s">
        <v>2301</v>
      </c>
      <c r="AC47" s="112" t="s">
        <v>2302</v>
      </c>
      <c r="AD47" s="112" t="s">
        <v>2303</v>
      </c>
      <c r="AE47" s="113" t="s">
        <v>2304</v>
      </c>
      <c r="AF47" s="110" t="s">
        <v>2305</v>
      </c>
      <c r="AG47" s="112" t="s">
        <v>2306</v>
      </c>
      <c r="AH47" s="112" t="s">
        <v>2307</v>
      </c>
      <c r="AI47" s="112" t="s">
        <v>2308</v>
      </c>
      <c r="AJ47" s="112" t="s">
        <v>2309</v>
      </c>
      <c r="AK47" s="112" t="s">
        <v>2310</v>
      </c>
      <c r="AL47" s="112" t="s">
        <v>2311</v>
      </c>
      <c r="AM47" s="112" t="s">
        <v>2312</v>
      </c>
      <c r="AN47" s="113" t="s">
        <v>2313</v>
      </c>
      <c r="AO47" s="110" t="s">
        <v>2314</v>
      </c>
      <c r="AP47" s="112" t="s">
        <v>2315</v>
      </c>
      <c r="AQ47" s="112" t="s">
        <v>2316</v>
      </c>
      <c r="AR47" s="112" t="s">
        <v>2317</v>
      </c>
      <c r="AS47" s="112" t="s">
        <v>2318</v>
      </c>
      <c r="AT47" s="113" t="s">
        <v>2319</v>
      </c>
      <c r="AU47" s="53"/>
      <c r="AV47" s="113" t="s">
        <v>2320</v>
      </c>
      <c r="AW47" s="126" t="n">
        <v>47</v>
      </c>
      <c r="AX47" s="52" t="s">
        <v>52</v>
      </c>
      <c r="AY47" s="130" t="s">
        <v>5</v>
      </c>
      <c r="AZ47" s="130"/>
      <c r="BA47" s="57" t="n">
        <v>18</v>
      </c>
      <c r="BB47" s="74" t="n">
        <v>39</v>
      </c>
      <c r="BC47" s="122" t="s">
        <v>2321</v>
      </c>
      <c r="BD47" s="76" t="n">
        <v>0</v>
      </c>
      <c r="BE47" s="76" t="n">
        <f aca="false">_xlfn.RANK.EQ(BD47,$BD$9:$BD$48,0)</f>
        <v>1</v>
      </c>
    </row>
    <row r="48" customFormat="false" ht="18" hidden="false" customHeight="true" outlineLevel="0" collapsed="false">
      <c r="A48" s="105" t="s">
        <v>2322</v>
      </c>
      <c r="B48" s="107" t="s">
        <v>2323</v>
      </c>
      <c r="C48" s="107" t="s">
        <v>2324</v>
      </c>
      <c r="D48" s="107" t="s">
        <v>2325</v>
      </c>
      <c r="E48" s="107" t="s">
        <v>2326</v>
      </c>
      <c r="F48" s="107" t="s">
        <v>2327</v>
      </c>
      <c r="G48" s="107" t="s">
        <v>2328</v>
      </c>
      <c r="H48" s="107" t="s">
        <v>2329</v>
      </c>
      <c r="I48" s="107" t="s">
        <v>2330</v>
      </c>
      <c r="J48" s="107" t="s">
        <v>2331</v>
      </c>
      <c r="K48" s="108" t="s">
        <v>2332</v>
      </c>
      <c r="L48" s="105" t="s">
        <v>2333</v>
      </c>
      <c r="M48" s="107" t="s">
        <v>2334</v>
      </c>
      <c r="N48" s="107" t="s">
        <v>2335</v>
      </c>
      <c r="O48" s="107" t="s">
        <v>2336</v>
      </c>
      <c r="P48" s="107" t="s">
        <v>2337</v>
      </c>
      <c r="Q48" s="107" t="s">
        <v>2338</v>
      </c>
      <c r="R48" s="107" t="s">
        <v>2339</v>
      </c>
      <c r="S48" s="107" t="s">
        <v>2340</v>
      </c>
      <c r="T48" s="107" t="s">
        <v>2341</v>
      </c>
      <c r="U48" s="107" t="s">
        <v>2342</v>
      </c>
      <c r="V48" s="107" t="s">
        <v>2343</v>
      </c>
      <c r="W48" s="108" t="s">
        <v>2344</v>
      </c>
      <c r="X48" s="105" t="s">
        <v>2345</v>
      </c>
      <c r="Y48" s="107" t="s">
        <v>2346</v>
      </c>
      <c r="Z48" s="107" t="s">
        <v>2347</v>
      </c>
      <c r="AA48" s="107" t="s">
        <v>2348</v>
      </c>
      <c r="AB48" s="107" t="s">
        <v>2349</v>
      </c>
      <c r="AC48" s="107" t="s">
        <v>2350</v>
      </c>
      <c r="AD48" s="107" t="s">
        <v>2351</v>
      </c>
      <c r="AE48" s="108" t="s">
        <v>2352</v>
      </c>
      <c r="AF48" s="105" t="s">
        <v>2353</v>
      </c>
      <c r="AG48" s="107" t="s">
        <v>2354</v>
      </c>
      <c r="AH48" s="107" t="s">
        <v>2355</v>
      </c>
      <c r="AI48" s="107" t="s">
        <v>2356</v>
      </c>
      <c r="AJ48" s="107" t="s">
        <v>2357</v>
      </c>
      <c r="AK48" s="107" t="s">
        <v>2358</v>
      </c>
      <c r="AL48" s="107" t="s">
        <v>2359</v>
      </c>
      <c r="AM48" s="107" t="s">
        <v>2360</v>
      </c>
      <c r="AN48" s="108" t="s">
        <v>2361</v>
      </c>
      <c r="AO48" s="105" t="s">
        <v>2362</v>
      </c>
      <c r="AP48" s="107" t="s">
        <v>2363</v>
      </c>
      <c r="AQ48" s="107" t="s">
        <v>2364</v>
      </c>
      <c r="AR48" s="107" t="s">
        <v>2365</v>
      </c>
      <c r="AS48" s="107" t="s">
        <v>2366</v>
      </c>
      <c r="AT48" s="108" t="s">
        <v>2367</v>
      </c>
      <c r="AU48" s="105" t="s">
        <v>2368</v>
      </c>
      <c r="AV48" s="98"/>
      <c r="AW48" s="105" t="n">
        <v>48</v>
      </c>
      <c r="AX48" s="129" t="s">
        <v>53</v>
      </c>
      <c r="AY48" s="130"/>
      <c r="AZ48" s="130"/>
      <c r="BA48" s="57" t="n">
        <v>21</v>
      </c>
      <c r="BB48" s="74" t="n">
        <v>40</v>
      </c>
      <c r="BC48" s="122" t="s">
        <v>2369</v>
      </c>
      <c r="BD48" s="76" t="n">
        <v>0</v>
      </c>
      <c r="BE48" s="76" t="n">
        <f aca="false">_xlfn.RANK.EQ(BD48,$BD$9:$BD$48,0)</f>
        <v>1</v>
      </c>
    </row>
    <row r="49" customFormat="false" ht="18" hidden="false" customHeight="true" outlineLevel="0" collapsed="false">
      <c r="A49" s="110" t="n">
        <v>1</v>
      </c>
      <c r="B49" s="90" t="n">
        <v>2</v>
      </c>
      <c r="C49" s="112" t="n">
        <v>3</v>
      </c>
      <c r="D49" s="90" t="n">
        <v>4</v>
      </c>
      <c r="E49" s="112" t="n">
        <v>5</v>
      </c>
      <c r="F49" s="90" t="n">
        <v>6</v>
      </c>
      <c r="G49" s="112" t="n">
        <v>7</v>
      </c>
      <c r="H49" s="90" t="n">
        <v>8</v>
      </c>
      <c r="I49" s="112" t="n">
        <v>9</v>
      </c>
      <c r="J49" s="90" t="n">
        <v>10</v>
      </c>
      <c r="K49" s="113" t="n">
        <v>11</v>
      </c>
      <c r="L49" s="88" t="n">
        <v>12</v>
      </c>
      <c r="M49" s="54" t="n">
        <v>13</v>
      </c>
      <c r="N49" s="90" t="n">
        <v>14</v>
      </c>
      <c r="O49" s="54" t="n">
        <v>15</v>
      </c>
      <c r="P49" s="90" t="n">
        <v>16</v>
      </c>
      <c r="Q49" s="54" t="n">
        <v>17</v>
      </c>
      <c r="R49" s="90" t="n">
        <v>18</v>
      </c>
      <c r="S49" s="54" t="n">
        <v>19</v>
      </c>
      <c r="T49" s="90" t="n">
        <v>20</v>
      </c>
      <c r="U49" s="54" t="n">
        <v>21</v>
      </c>
      <c r="V49" s="90" t="n">
        <v>22</v>
      </c>
      <c r="W49" s="55" t="n">
        <v>23</v>
      </c>
      <c r="X49" s="88" t="n">
        <v>24</v>
      </c>
      <c r="Y49" s="132" t="n">
        <v>25</v>
      </c>
      <c r="Z49" s="90" t="n">
        <v>26</v>
      </c>
      <c r="AA49" s="132" t="n">
        <v>27</v>
      </c>
      <c r="AB49" s="90" t="n">
        <v>28</v>
      </c>
      <c r="AC49" s="132" t="n">
        <v>29</v>
      </c>
      <c r="AD49" s="90" t="n">
        <v>30</v>
      </c>
      <c r="AE49" s="111" t="n">
        <v>31</v>
      </c>
      <c r="AF49" s="88" t="n">
        <v>32</v>
      </c>
      <c r="AG49" s="132" t="n">
        <v>33</v>
      </c>
      <c r="AH49" s="90" t="n">
        <v>34</v>
      </c>
      <c r="AI49" s="132" t="n">
        <v>35</v>
      </c>
      <c r="AJ49" s="90" t="n">
        <v>36</v>
      </c>
      <c r="AK49" s="132" t="n">
        <v>37</v>
      </c>
      <c r="AL49" s="90" t="n">
        <v>38</v>
      </c>
      <c r="AM49" s="132" t="n">
        <v>39</v>
      </c>
      <c r="AN49" s="91" t="n">
        <v>40</v>
      </c>
      <c r="AO49" s="126" t="n">
        <v>41</v>
      </c>
      <c r="AP49" s="90" t="n">
        <v>42</v>
      </c>
      <c r="AQ49" s="132" t="n">
        <v>43</v>
      </c>
      <c r="AR49" s="90" t="n">
        <v>44</v>
      </c>
      <c r="AS49" s="132" t="n">
        <v>45</v>
      </c>
      <c r="AT49" s="91" t="n">
        <v>46</v>
      </c>
      <c r="AU49" s="126" t="n">
        <v>47</v>
      </c>
      <c r="AV49" s="91" t="n">
        <v>48</v>
      </c>
      <c r="AW49" s="133"/>
      <c r="AX49" s="133"/>
      <c r="AY49" s="134"/>
      <c r="AZ49" s="134"/>
      <c r="BA49" s="57"/>
      <c r="BB49" s="135"/>
      <c r="BC49" s="136"/>
      <c r="BD49" s="76"/>
      <c r="BE49" s="76"/>
    </row>
    <row r="50" customFormat="false" ht="73.5" hidden="false" customHeight="true" outlineLevel="0" collapsed="false">
      <c r="A50" s="137" t="s">
        <v>6</v>
      </c>
      <c r="B50" s="138" t="s">
        <v>7</v>
      </c>
      <c r="C50" s="139" t="s">
        <v>8</v>
      </c>
      <c r="D50" s="138" t="s">
        <v>9</v>
      </c>
      <c r="E50" s="139" t="s">
        <v>10</v>
      </c>
      <c r="F50" s="138" t="s">
        <v>11</v>
      </c>
      <c r="G50" s="139" t="s">
        <v>12</v>
      </c>
      <c r="H50" s="138" t="s">
        <v>13</v>
      </c>
      <c r="I50" s="139" t="s">
        <v>14</v>
      </c>
      <c r="J50" s="138" t="s">
        <v>15</v>
      </c>
      <c r="K50" s="140" t="s">
        <v>16</v>
      </c>
      <c r="L50" s="141" t="s">
        <v>17</v>
      </c>
      <c r="M50" s="139" t="s">
        <v>18</v>
      </c>
      <c r="N50" s="142" t="s">
        <v>19</v>
      </c>
      <c r="O50" s="139" t="s">
        <v>20</v>
      </c>
      <c r="P50" s="142" t="s">
        <v>21</v>
      </c>
      <c r="Q50" s="143" t="s">
        <v>22</v>
      </c>
      <c r="R50" s="138" t="s">
        <v>23</v>
      </c>
      <c r="S50" s="139" t="s">
        <v>24</v>
      </c>
      <c r="T50" s="138" t="s">
        <v>25</v>
      </c>
      <c r="U50" s="139" t="s">
        <v>26</v>
      </c>
      <c r="V50" s="138" t="s">
        <v>27</v>
      </c>
      <c r="W50" s="140" t="s">
        <v>28</v>
      </c>
      <c r="X50" s="141" t="s">
        <v>29</v>
      </c>
      <c r="Y50" s="139" t="s">
        <v>30</v>
      </c>
      <c r="Z50" s="138" t="s">
        <v>31</v>
      </c>
      <c r="AA50" s="139" t="s">
        <v>32</v>
      </c>
      <c r="AB50" s="138" t="s">
        <v>33</v>
      </c>
      <c r="AC50" s="139" t="s">
        <v>34</v>
      </c>
      <c r="AD50" s="138" t="s">
        <v>35</v>
      </c>
      <c r="AE50" s="144" t="s">
        <v>36</v>
      </c>
      <c r="AF50" s="141" t="s">
        <v>37</v>
      </c>
      <c r="AG50" s="139" t="s">
        <v>38</v>
      </c>
      <c r="AH50" s="138" t="s">
        <v>39</v>
      </c>
      <c r="AI50" s="139" t="s">
        <v>40</v>
      </c>
      <c r="AJ50" s="142" t="s">
        <v>41</v>
      </c>
      <c r="AK50" s="139" t="s">
        <v>42</v>
      </c>
      <c r="AL50" s="138" t="s">
        <v>43</v>
      </c>
      <c r="AM50" s="139" t="s">
        <v>44</v>
      </c>
      <c r="AN50" s="147" t="s">
        <v>45</v>
      </c>
      <c r="AO50" s="137" t="s">
        <v>46</v>
      </c>
      <c r="AP50" s="138" t="s">
        <v>47</v>
      </c>
      <c r="AQ50" s="139" t="s">
        <v>48</v>
      </c>
      <c r="AR50" s="138" t="s">
        <v>49</v>
      </c>
      <c r="AS50" s="139" t="s">
        <v>50</v>
      </c>
      <c r="AT50" s="148" t="s">
        <v>51</v>
      </c>
      <c r="AU50" s="137" t="s">
        <v>52</v>
      </c>
      <c r="AV50" s="148" t="s">
        <v>53</v>
      </c>
      <c r="AW50" s="133"/>
      <c r="AX50" s="133"/>
      <c r="AY50" s="134"/>
      <c r="AZ50" s="134"/>
      <c r="BA50" s="57"/>
      <c r="BB50" s="135"/>
      <c r="BC50" s="136"/>
      <c r="BD50" s="76"/>
      <c r="BE50" s="76"/>
    </row>
    <row r="51" customFormat="false" ht="15" hidden="false" customHeight="true" outlineLevel="0" collapsed="false">
      <c r="A51" s="149" t="s">
        <v>0</v>
      </c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50" t="s">
        <v>1</v>
      </c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1" t="s">
        <v>2</v>
      </c>
      <c r="Y51" s="151"/>
      <c r="Z51" s="151"/>
      <c r="AA51" s="151"/>
      <c r="AB51" s="151"/>
      <c r="AC51" s="151"/>
      <c r="AD51" s="151"/>
      <c r="AE51" s="151"/>
      <c r="AF51" s="152" t="s">
        <v>3</v>
      </c>
      <c r="AG51" s="152"/>
      <c r="AH51" s="152"/>
      <c r="AI51" s="152"/>
      <c r="AJ51" s="152"/>
      <c r="AK51" s="152"/>
      <c r="AL51" s="152"/>
      <c r="AM51" s="152"/>
      <c r="AN51" s="152"/>
      <c r="AO51" s="153" t="s">
        <v>4</v>
      </c>
      <c r="AP51" s="153"/>
      <c r="AQ51" s="153"/>
      <c r="AR51" s="153"/>
      <c r="AS51" s="153"/>
      <c r="AT51" s="153"/>
      <c r="AU51" s="154" t="s">
        <v>5</v>
      </c>
      <c r="AV51" s="154"/>
      <c r="AW51" s="133"/>
      <c r="AX51" s="133"/>
      <c r="AY51" s="134"/>
      <c r="AZ51" s="134"/>
      <c r="BA51" s="57"/>
      <c r="BB51" s="135"/>
      <c r="BC51" s="136"/>
      <c r="BD51" s="76"/>
      <c r="BE51" s="76"/>
    </row>
    <row r="52" customFormat="false" ht="15" hidden="false" customHeight="true" outlineLevel="0" collapsed="false">
      <c r="A52" s="149"/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1"/>
      <c r="Y52" s="151"/>
      <c r="Z52" s="151"/>
      <c r="AA52" s="151"/>
      <c r="AB52" s="151"/>
      <c r="AC52" s="151"/>
      <c r="AD52" s="151"/>
      <c r="AE52" s="151"/>
      <c r="AF52" s="152"/>
      <c r="AG52" s="152"/>
      <c r="AH52" s="152"/>
      <c r="AI52" s="152"/>
      <c r="AJ52" s="152"/>
      <c r="AK52" s="152"/>
      <c r="AL52" s="152"/>
      <c r="AM52" s="152"/>
      <c r="AN52" s="152"/>
      <c r="AO52" s="153"/>
      <c r="AP52" s="153"/>
      <c r="AQ52" s="153"/>
      <c r="AR52" s="153"/>
      <c r="AS52" s="153"/>
      <c r="AT52" s="153"/>
      <c r="AU52" s="154"/>
      <c r="AV52" s="154"/>
      <c r="AW52" s="133"/>
      <c r="AX52" s="133"/>
      <c r="AY52" s="134"/>
      <c r="AZ52" s="134"/>
      <c r="BA52" s="57"/>
      <c r="BB52" s="135"/>
      <c r="BC52" s="136"/>
      <c r="BD52" s="76"/>
      <c r="BE52" s="76"/>
    </row>
    <row r="53" customFormat="false" ht="12.75" hidden="false" customHeight="false" outlineLevel="0" collapsed="false">
      <c r="A53" s="57" t="n">
        <v>9</v>
      </c>
      <c r="B53" s="57" t="n">
        <v>9</v>
      </c>
      <c r="C53" s="57" t="n">
        <v>20</v>
      </c>
      <c r="D53" s="57" t="n">
        <v>36</v>
      </c>
      <c r="E53" s="57" t="n">
        <v>33</v>
      </c>
      <c r="F53" s="57" t="n">
        <v>28</v>
      </c>
      <c r="G53" s="57" t="n">
        <v>74</v>
      </c>
      <c r="H53" s="57" t="n">
        <v>34</v>
      </c>
      <c r="I53" s="57" t="n">
        <v>89</v>
      </c>
      <c r="J53" s="57" t="n">
        <v>30</v>
      </c>
      <c r="K53" s="57" t="n">
        <v>135</v>
      </c>
      <c r="L53" s="57" t="n">
        <v>21</v>
      </c>
      <c r="M53" s="57" t="n">
        <v>19</v>
      </c>
      <c r="N53" s="57" t="n">
        <v>10</v>
      </c>
      <c r="O53" s="57" t="n">
        <v>16</v>
      </c>
      <c r="P53" s="57" t="n">
        <v>15</v>
      </c>
      <c r="Q53" s="57" t="n">
        <v>6</v>
      </c>
      <c r="R53" s="57" t="n">
        <v>14</v>
      </c>
      <c r="S53" s="57" t="n">
        <v>11</v>
      </c>
      <c r="T53" s="57" t="n">
        <v>22</v>
      </c>
      <c r="U53" s="57" t="n">
        <v>5</v>
      </c>
      <c r="V53" s="57" t="n">
        <v>10</v>
      </c>
      <c r="W53" s="57" t="n">
        <v>8</v>
      </c>
      <c r="X53" s="57" t="n">
        <v>23</v>
      </c>
      <c r="Y53" s="57" t="n">
        <v>22</v>
      </c>
      <c r="Z53" s="57" t="n">
        <v>26</v>
      </c>
      <c r="AA53" s="57" t="n">
        <v>19</v>
      </c>
      <c r="AB53" s="57" t="n">
        <v>114</v>
      </c>
      <c r="AC53" s="57" t="n">
        <v>25</v>
      </c>
      <c r="AD53" s="57" t="n">
        <v>25</v>
      </c>
      <c r="AE53" s="57" t="n">
        <v>17</v>
      </c>
      <c r="AF53" s="57" t="n">
        <v>33</v>
      </c>
      <c r="AG53" s="57" t="n">
        <v>30</v>
      </c>
      <c r="AH53" s="57" t="n">
        <v>35</v>
      </c>
      <c r="AI53" s="57" t="n">
        <v>8</v>
      </c>
      <c r="AJ53" s="57" t="n">
        <v>16</v>
      </c>
      <c r="AK53" s="57" t="n">
        <v>37</v>
      </c>
      <c r="AL53" s="57" t="n">
        <v>17</v>
      </c>
      <c r="AM53" s="57" t="n">
        <v>122</v>
      </c>
      <c r="AN53" s="57" t="n">
        <v>5</v>
      </c>
      <c r="AO53" s="57" t="n">
        <v>9</v>
      </c>
      <c r="AP53" s="57" t="n">
        <v>2</v>
      </c>
      <c r="AQ53" s="57" t="n">
        <v>6</v>
      </c>
      <c r="AR53" s="57" t="n">
        <v>9</v>
      </c>
      <c r="AS53" s="57" t="n">
        <v>13</v>
      </c>
      <c r="AT53" s="57" t="n">
        <v>32</v>
      </c>
      <c r="AU53" s="57" t="n">
        <v>17</v>
      </c>
      <c r="AV53" s="57" t="n">
        <v>11</v>
      </c>
      <c r="AW53" s="57"/>
      <c r="AX53" s="57"/>
      <c r="AY53" s="57"/>
      <c r="AZ53" s="57"/>
    </row>
    <row r="54" customFormat="false" ht="3" hidden="false" customHeight="true" outlineLevel="0" collapsed="false"/>
    <row r="55" customFormat="false" ht="11.25" hidden="false" customHeight="true" outlineLevel="0" collapsed="false">
      <c r="A55" s="1" t="s">
        <v>2370</v>
      </c>
      <c r="C55" s="1" t="s">
        <v>2371</v>
      </c>
      <c r="G55" s="1" t="s">
        <v>2372</v>
      </c>
      <c r="W55" s="1" t="s">
        <v>2373</v>
      </c>
      <c r="AB55" s="1" t="s">
        <v>2374</v>
      </c>
      <c r="BB55" s="116" t="s">
        <v>2375</v>
      </c>
      <c r="BC55" s="116"/>
    </row>
  </sheetData>
  <mergeCells count="14">
    <mergeCell ref="AY1:AZ11"/>
    <mergeCell ref="BB8:BC8"/>
    <mergeCell ref="AY12:AZ23"/>
    <mergeCell ref="AY24:AZ31"/>
    <mergeCell ref="AY32:AZ40"/>
    <mergeCell ref="AY41:AZ46"/>
    <mergeCell ref="AY47:AZ48"/>
    <mergeCell ref="A51:K52"/>
    <mergeCell ref="L51:W52"/>
    <mergeCell ref="X51:AE52"/>
    <mergeCell ref="AF51:AN52"/>
    <mergeCell ref="AO51:AT52"/>
    <mergeCell ref="AU51:AV52"/>
    <mergeCell ref="BB55:BC55"/>
  </mergeCells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53</xdr:col>
                    <xdr:colOff>160200</xdr:colOff>
                    <xdr:row>49</xdr:row>
                    <xdr:rowOff>60840</xdr:rowOff>
                  </from>
                  <to>
                    <xdr:col>54</xdr:col>
                    <xdr:colOff>945000</xdr:colOff>
                    <xdr:row>50</xdr:row>
                    <xdr:rowOff>-537480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B56"/>
  <sheetViews>
    <sheetView showFormulas="false" showGridLines="false" showRowColHeaders="true" showZeros="true" rightToLeft="false" tabSelected="false" showOutlineSymbols="true" defaultGridColor="true" view="normal" topLeftCell="A2" colorId="64" zoomScale="80" zoomScaleNormal="80" zoomScalePageLayoutView="100" workbookViewId="0">
      <selection pane="topLeft" activeCell="H46" activeCellId="0" sqref="H46"/>
    </sheetView>
  </sheetViews>
  <sheetFormatPr defaultColWidth="11.42578125" defaultRowHeight="12.75" zeroHeight="false" outlineLevelRow="0" outlineLevelCol="0"/>
  <cols>
    <col collapsed="false" customWidth="true" hidden="false" outlineLevel="0" max="1" min="1" style="1" width="6"/>
    <col collapsed="false" customWidth="true" hidden="false" outlineLevel="0" max="2" min="2" style="1" width="3"/>
    <col collapsed="false" customWidth="true" hidden="false" outlineLevel="0" max="3" min="3" style="1" width="15"/>
    <col collapsed="false" customWidth="true" hidden="false" outlineLevel="0" max="52" min="4" style="1" width="4.71"/>
    <col collapsed="false" customWidth="true" hidden="false" outlineLevel="0" max="53" min="53" style="1" width="3.57"/>
    <col collapsed="false" customWidth="true" hidden="false" outlineLevel="0" max="54" min="54" style="1" width="37.29"/>
    <col collapsed="false" customWidth="true" hidden="false" outlineLevel="0" max="60" min="55" style="1" width="4.71"/>
    <col collapsed="false" customWidth="true" hidden="false" outlineLevel="0" max="61" min="61" style="1" width="3.29"/>
    <col collapsed="false" customWidth="true" hidden="false" outlineLevel="0" max="62" min="62" style="1" width="30.85"/>
    <col collapsed="false" customWidth="true" hidden="false" outlineLevel="0" max="63" min="63" style="1" width="0.57"/>
    <col collapsed="false" customWidth="false" hidden="false" outlineLevel="0" max="16384" min="64" style="1" width="11.43"/>
  </cols>
  <sheetData>
    <row r="1" s="2" customFormat="true" ht="13.5" hidden="false" customHeight="false" outlineLevel="0" collapsed="false"/>
    <row r="2" customFormat="false" ht="12.75" hidden="false" customHeight="true" outlineLevel="0" collapsed="false">
      <c r="D2" s="3" t="s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4" t="s">
        <v>1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5" t="s">
        <v>2</v>
      </c>
      <c r="AB2" s="5"/>
      <c r="AC2" s="5"/>
      <c r="AD2" s="5"/>
      <c r="AE2" s="5"/>
      <c r="AF2" s="5"/>
      <c r="AG2" s="5"/>
      <c r="AH2" s="5"/>
      <c r="AI2" s="6" t="s">
        <v>3</v>
      </c>
      <c r="AJ2" s="6"/>
      <c r="AK2" s="6"/>
      <c r="AL2" s="6"/>
      <c r="AM2" s="6"/>
      <c r="AN2" s="6"/>
      <c r="AO2" s="6"/>
      <c r="AP2" s="6"/>
      <c r="AQ2" s="6"/>
      <c r="AR2" s="7" t="s">
        <v>2626</v>
      </c>
      <c r="AS2" s="7"/>
      <c r="AT2" s="7"/>
      <c r="AU2" s="7"/>
      <c r="AV2" s="7"/>
      <c r="AW2" s="7"/>
      <c r="AX2" s="8" t="s">
        <v>5</v>
      </c>
      <c r="AY2" s="8"/>
      <c r="BA2" s="9"/>
      <c r="BB2" s="10"/>
    </row>
    <row r="3" customFormat="false" ht="13.5" hidden="false" customHeight="true" outlineLevel="0" collapsed="false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5"/>
      <c r="AB3" s="5"/>
      <c r="AC3" s="5"/>
      <c r="AD3" s="5"/>
      <c r="AE3" s="5"/>
      <c r="AF3" s="5"/>
      <c r="AG3" s="5"/>
      <c r="AH3" s="5"/>
      <c r="AI3" s="6"/>
      <c r="AJ3" s="6"/>
      <c r="AK3" s="6"/>
      <c r="AL3" s="6"/>
      <c r="AM3" s="6"/>
      <c r="AN3" s="6"/>
      <c r="AO3" s="6"/>
      <c r="AP3" s="6"/>
      <c r="AQ3" s="6"/>
      <c r="AR3" s="7"/>
      <c r="AS3" s="7"/>
      <c r="AT3" s="7"/>
      <c r="AU3" s="7"/>
      <c r="AV3" s="7"/>
      <c r="AW3" s="7"/>
      <c r="AX3" s="8"/>
      <c r="AY3" s="8"/>
      <c r="BA3" s="9"/>
      <c r="BB3" s="10"/>
    </row>
    <row r="4" customFormat="false" ht="65.25" hidden="false" customHeight="true" outlineLevel="0" collapsed="false">
      <c r="B4" s="11"/>
      <c r="C4" s="12"/>
      <c r="D4" s="13" t="s">
        <v>6</v>
      </c>
      <c r="E4" s="14" t="s">
        <v>7</v>
      </c>
      <c r="F4" s="15" t="s">
        <v>8</v>
      </c>
      <c r="G4" s="14" t="s">
        <v>9</v>
      </c>
      <c r="H4" s="15" t="s">
        <v>10</v>
      </c>
      <c r="I4" s="14" t="s">
        <v>11</v>
      </c>
      <c r="J4" s="15" t="s">
        <v>12</v>
      </c>
      <c r="K4" s="14" t="s">
        <v>13</v>
      </c>
      <c r="L4" s="15" t="s">
        <v>14</v>
      </c>
      <c r="M4" s="14" t="s">
        <v>15</v>
      </c>
      <c r="N4" s="16" t="s">
        <v>16</v>
      </c>
      <c r="O4" s="17" t="s">
        <v>17</v>
      </c>
      <c r="P4" s="15" t="s">
        <v>18</v>
      </c>
      <c r="Q4" s="18" t="s">
        <v>19</v>
      </c>
      <c r="R4" s="15" t="s">
        <v>20</v>
      </c>
      <c r="S4" s="18" t="s">
        <v>21</v>
      </c>
      <c r="T4" s="19" t="s">
        <v>22</v>
      </c>
      <c r="U4" s="14" t="s">
        <v>23</v>
      </c>
      <c r="V4" s="15" t="s">
        <v>24</v>
      </c>
      <c r="W4" s="14" t="s">
        <v>25</v>
      </c>
      <c r="X4" s="15" t="s">
        <v>26</v>
      </c>
      <c r="Y4" s="14" t="s">
        <v>27</v>
      </c>
      <c r="Z4" s="16" t="s">
        <v>28</v>
      </c>
      <c r="AA4" s="21" t="s">
        <v>29</v>
      </c>
      <c r="AB4" s="15" t="s">
        <v>30</v>
      </c>
      <c r="AC4" s="14" t="s">
        <v>31</v>
      </c>
      <c r="AD4" s="15" t="s">
        <v>32</v>
      </c>
      <c r="AE4" s="14" t="s">
        <v>33</v>
      </c>
      <c r="AF4" s="15" t="s">
        <v>34</v>
      </c>
      <c r="AG4" s="14" t="s">
        <v>35</v>
      </c>
      <c r="AH4" s="22" t="s">
        <v>36</v>
      </c>
      <c r="AI4" s="17" t="s">
        <v>37</v>
      </c>
      <c r="AJ4" s="15" t="s">
        <v>38</v>
      </c>
      <c r="AK4" s="17" t="s">
        <v>39</v>
      </c>
      <c r="AL4" s="15" t="s">
        <v>40</v>
      </c>
      <c r="AM4" s="18" t="s">
        <v>41</v>
      </c>
      <c r="AN4" s="15" t="s">
        <v>42</v>
      </c>
      <c r="AO4" s="14" t="s">
        <v>43</v>
      </c>
      <c r="AP4" s="15" t="s">
        <v>44</v>
      </c>
      <c r="AQ4" s="18" t="s">
        <v>45</v>
      </c>
      <c r="AR4" s="23" t="s">
        <v>46</v>
      </c>
      <c r="AS4" s="14" t="s">
        <v>47</v>
      </c>
      <c r="AT4" s="15" t="s">
        <v>48</v>
      </c>
      <c r="AU4" s="14" t="s">
        <v>49</v>
      </c>
      <c r="AV4" s="15" t="s">
        <v>50</v>
      </c>
      <c r="AW4" s="24" t="s">
        <v>51</v>
      </c>
      <c r="AX4" s="23" t="s">
        <v>52</v>
      </c>
      <c r="AY4" s="25" t="s">
        <v>53</v>
      </c>
      <c r="BA4" s="9"/>
      <c r="BB4" s="10"/>
    </row>
    <row r="5" customFormat="false" ht="13.5" hidden="false" customHeight="true" outlineLevel="0" collapsed="false">
      <c r="B5" s="26"/>
      <c r="C5" s="27"/>
      <c r="D5" s="28" t="n">
        <v>1</v>
      </c>
      <c r="E5" s="29" t="n">
        <v>2</v>
      </c>
      <c r="F5" s="30" t="n">
        <v>3</v>
      </c>
      <c r="G5" s="29" t="n">
        <v>4</v>
      </c>
      <c r="H5" s="30" t="n">
        <v>5</v>
      </c>
      <c r="I5" s="29" t="n">
        <v>6</v>
      </c>
      <c r="J5" s="30" t="n">
        <v>7</v>
      </c>
      <c r="K5" s="29" t="n">
        <v>8</v>
      </c>
      <c r="L5" s="30" t="n">
        <v>9</v>
      </c>
      <c r="M5" s="29" t="n">
        <v>10</v>
      </c>
      <c r="N5" s="31" t="n">
        <v>11</v>
      </c>
      <c r="O5" s="32" t="n">
        <v>12</v>
      </c>
      <c r="P5" s="33" t="n">
        <v>13</v>
      </c>
      <c r="Q5" s="29" t="n">
        <v>14</v>
      </c>
      <c r="R5" s="33" t="n">
        <v>15</v>
      </c>
      <c r="S5" s="29" t="n">
        <v>16</v>
      </c>
      <c r="T5" s="33" t="n">
        <v>17</v>
      </c>
      <c r="U5" s="29" t="n">
        <v>18</v>
      </c>
      <c r="V5" s="33" t="n">
        <v>19</v>
      </c>
      <c r="W5" s="29" t="n">
        <v>20</v>
      </c>
      <c r="X5" s="33" t="n">
        <v>21</v>
      </c>
      <c r="Y5" s="29" t="n">
        <v>22</v>
      </c>
      <c r="Z5" s="35" t="n">
        <v>23</v>
      </c>
      <c r="AA5" s="36" t="n">
        <v>24</v>
      </c>
      <c r="AB5" s="37" t="n">
        <v>25</v>
      </c>
      <c r="AC5" s="29" t="n">
        <v>26</v>
      </c>
      <c r="AD5" s="37" t="n">
        <v>27</v>
      </c>
      <c r="AE5" s="29" t="n">
        <v>28</v>
      </c>
      <c r="AF5" s="37" t="n">
        <v>29</v>
      </c>
      <c r="AG5" s="29" t="n">
        <v>30</v>
      </c>
      <c r="AH5" s="38" t="n">
        <v>31</v>
      </c>
      <c r="AI5" s="32" t="n">
        <v>32</v>
      </c>
      <c r="AJ5" s="37" t="n">
        <v>33</v>
      </c>
      <c r="AK5" s="32" t="n">
        <v>34</v>
      </c>
      <c r="AL5" s="39" t="n">
        <v>35</v>
      </c>
      <c r="AM5" s="29" t="n">
        <v>36</v>
      </c>
      <c r="AN5" s="39" t="n">
        <v>37</v>
      </c>
      <c r="AO5" s="32" t="n">
        <v>38</v>
      </c>
      <c r="AP5" s="37" t="n">
        <v>39</v>
      </c>
      <c r="AQ5" s="40" t="n">
        <v>40</v>
      </c>
      <c r="AR5" s="41" t="n">
        <v>41</v>
      </c>
      <c r="AS5" s="42" t="n">
        <v>42</v>
      </c>
      <c r="AT5" s="43" t="n">
        <v>43</v>
      </c>
      <c r="AU5" s="44" t="n">
        <v>44</v>
      </c>
      <c r="AV5" s="45" t="n">
        <v>45</v>
      </c>
      <c r="AW5" s="46" t="n">
        <v>46</v>
      </c>
      <c r="AX5" s="41" t="n">
        <v>47</v>
      </c>
      <c r="AY5" s="47" t="n">
        <v>48</v>
      </c>
      <c r="BA5" s="9"/>
      <c r="BB5" s="49"/>
    </row>
    <row r="6" customFormat="false" ht="18" hidden="false" customHeight="true" outlineLevel="0" collapsed="false">
      <c r="A6" s="50" t="s">
        <v>0</v>
      </c>
      <c r="B6" s="51" t="n">
        <v>1</v>
      </c>
      <c r="C6" s="52" t="s">
        <v>6</v>
      </c>
      <c r="D6" s="53"/>
      <c r="E6" s="54" t="s">
        <v>2627</v>
      </c>
      <c r="F6" s="54" t="s">
        <v>2628</v>
      </c>
      <c r="G6" s="54" t="s">
        <v>2629</v>
      </c>
      <c r="H6" s="54" t="s">
        <v>2630</v>
      </c>
      <c r="I6" s="54" t="s">
        <v>2631</v>
      </c>
      <c r="J6" s="54" t="s">
        <v>2632</v>
      </c>
      <c r="K6" s="54" t="s">
        <v>2633</v>
      </c>
      <c r="L6" s="54" t="s">
        <v>2634</v>
      </c>
      <c r="M6" s="54" t="s">
        <v>2635</v>
      </c>
      <c r="N6" s="55" t="s">
        <v>2636</v>
      </c>
      <c r="O6" s="56" t="s">
        <v>2637</v>
      </c>
      <c r="P6" s="54" t="s">
        <v>2638</v>
      </c>
      <c r="Q6" s="54" t="s">
        <v>2639</v>
      </c>
      <c r="R6" s="54" t="s">
        <v>2640</v>
      </c>
      <c r="S6" s="54" t="s">
        <v>2641</v>
      </c>
      <c r="T6" s="54" t="s">
        <v>2642</v>
      </c>
      <c r="U6" s="54" t="s">
        <v>2643</v>
      </c>
      <c r="V6" s="54" t="s">
        <v>2644</v>
      </c>
      <c r="W6" s="54" t="s">
        <v>2645</v>
      </c>
      <c r="X6" s="54" t="s">
        <v>2646</v>
      </c>
      <c r="Y6" s="54" t="s">
        <v>2647</v>
      </c>
      <c r="Z6" s="55" t="s">
        <v>2648</v>
      </c>
      <c r="AA6" s="56" t="s">
        <v>2649</v>
      </c>
      <c r="AB6" s="54" t="s">
        <v>2650</v>
      </c>
      <c r="AC6" s="54" t="s">
        <v>2651</v>
      </c>
      <c r="AD6" s="54" t="s">
        <v>2652</v>
      </c>
      <c r="AE6" s="54" t="s">
        <v>2653</v>
      </c>
      <c r="AF6" s="54" t="s">
        <v>2654</v>
      </c>
      <c r="AG6" s="54" t="s">
        <v>2655</v>
      </c>
      <c r="AH6" s="55" t="s">
        <v>2656</v>
      </c>
      <c r="AI6" s="56" t="s">
        <v>2657</v>
      </c>
      <c r="AJ6" s="54" t="s">
        <v>2658</v>
      </c>
      <c r="AK6" s="54" t="s">
        <v>2659</v>
      </c>
      <c r="AL6" s="54" t="s">
        <v>2660</v>
      </c>
      <c r="AM6" s="54" t="s">
        <v>2661</v>
      </c>
      <c r="AN6" s="54" t="s">
        <v>2662</v>
      </c>
      <c r="AO6" s="54" t="s">
        <v>2663</v>
      </c>
      <c r="AP6" s="54" t="s">
        <v>2664</v>
      </c>
      <c r="AQ6" s="55" t="s">
        <v>2665</v>
      </c>
      <c r="AR6" s="56" t="s">
        <v>2666</v>
      </c>
      <c r="AS6" s="54" t="s">
        <v>2667</v>
      </c>
      <c r="AT6" s="54" t="s">
        <v>2668</v>
      </c>
      <c r="AU6" s="54" t="s">
        <v>2669</v>
      </c>
      <c r="AV6" s="54" t="s">
        <v>2670</v>
      </c>
      <c r="AW6" s="55" t="s">
        <v>2671</v>
      </c>
      <c r="AX6" s="56" t="s">
        <v>2672</v>
      </c>
      <c r="AY6" s="55" t="s">
        <v>2673</v>
      </c>
      <c r="BA6" s="9"/>
      <c r="BB6" s="9"/>
    </row>
    <row r="7" customFormat="false" ht="18" hidden="false" customHeight="true" outlineLevel="0" collapsed="false">
      <c r="A7" s="50"/>
      <c r="B7" s="58" t="n">
        <v>2</v>
      </c>
      <c r="C7" s="59" t="s">
        <v>7</v>
      </c>
      <c r="D7" s="60" t="s">
        <v>2674</v>
      </c>
      <c r="E7" s="61"/>
      <c r="F7" s="62" t="s">
        <v>2675</v>
      </c>
      <c r="G7" s="62" t="s">
        <v>2676</v>
      </c>
      <c r="H7" s="62" t="s">
        <v>2677</v>
      </c>
      <c r="I7" s="62" t="s">
        <v>2678</v>
      </c>
      <c r="J7" s="62" t="s">
        <v>2679</v>
      </c>
      <c r="K7" s="62" t="s">
        <v>2680</v>
      </c>
      <c r="L7" s="62" t="s">
        <v>2681</v>
      </c>
      <c r="M7" s="62" t="s">
        <v>2682</v>
      </c>
      <c r="N7" s="63" t="s">
        <v>2683</v>
      </c>
      <c r="O7" s="60" t="s">
        <v>2684</v>
      </c>
      <c r="P7" s="62" t="s">
        <v>2685</v>
      </c>
      <c r="Q7" s="62" t="s">
        <v>2686</v>
      </c>
      <c r="R7" s="62" t="s">
        <v>2687</v>
      </c>
      <c r="S7" s="62" t="s">
        <v>2688</v>
      </c>
      <c r="T7" s="62" t="s">
        <v>2689</v>
      </c>
      <c r="U7" s="62" t="s">
        <v>2690</v>
      </c>
      <c r="V7" s="62" t="s">
        <v>2691</v>
      </c>
      <c r="W7" s="62" t="s">
        <v>2692</v>
      </c>
      <c r="X7" s="62" t="s">
        <v>2693</v>
      </c>
      <c r="Y7" s="62" t="s">
        <v>2694</v>
      </c>
      <c r="Z7" s="63" t="s">
        <v>2695</v>
      </c>
      <c r="AA7" s="60" t="s">
        <v>2696</v>
      </c>
      <c r="AB7" s="62" t="s">
        <v>2697</v>
      </c>
      <c r="AC7" s="62" t="s">
        <v>2698</v>
      </c>
      <c r="AD7" s="62" t="s">
        <v>2699</v>
      </c>
      <c r="AE7" s="62" t="s">
        <v>2700</v>
      </c>
      <c r="AF7" s="62" t="s">
        <v>2701</v>
      </c>
      <c r="AG7" s="62" t="s">
        <v>2702</v>
      </c>
      <c r="AH7" s="63" t="s">
        <v>2703</v>
      </c>
      <c r="AI7" s="60" t="s">
        <v>2704</v>
      </c>
      <c r="AJ7" s="62" t="s">
        <v>2705</v>
      </c>
      <c r="AK7" s="62" t="s">
        <v>2706</v>
      </c>
      <c r="AL7" s="62" t="s">
        <v>2707</v>
      </c>
      <c r="AM7" s="62" t="s">
        <v>2708</v>
      </c>
      <c r="AN7" s="62" t="s">
        <v>2709</v>
      </c>
      <c r="AO7" s="62" t="s">
        <v>2710</v>
      </c>
      <c r="AP7" s="62" t="s">
        <v>2711</v>
      </c>
      <c r="AQ7" s="63" t="s">
        <v>2712</v>
      </c>
      <c r="AR7" s="60" t="s">
        <v>2713</v>
      </c>
      <c r="AS7" s="62" t="s">
        <v>2714</v>
      </c>
      <c r="AT7" s="62" t="s">
        <v>2715</v>
      </c>
      <c r="AU7" s="62" t="s">
        <v>2716</v>
      </c>
      <c r="AV7" s="62" t="s">
        <v>2717</v>
      </c>
      <c r="AW7" s="63" t="s">
        <v>2718</v>
      </c>
      <c r="AX7" s="60" t="s">
        <v>2719</v>
      </c>
      <c r="AY7" s="63" t="s">
        <v>2720</v>
      </c>
      <c r="BA7" s="9"/>
      <c r="BB7" s="9"/>
    </row>
    <row r="8" customFormat="false" ht="18" hidden="false" customHeight="true" outlineLevel="0" collapsed="false">
      <c r="A8" s="50"/>
      <c r="B8" s="64" t="n">
        <v>3</v>
      </c>
      <c r="C8" s="65" t="s">
        <v>148</v>
      </c>
      <c r="D8" s="66" t="s">
        <v>2721</v>
      </c>
      <c r="E8" s="67" t="s">
        <v>2722</v>
      </c>
      <c r="F8" s="61"/>
      <c r="G8" s="67" t="s">
        <v>2723</v>
      </c>
      <c r="H8" s="68" t="s">
        <v>2724</v>
      </c>
      <c r="I8" s="67" t="s">
        <v>2725</v>
      </c>
      <c r="J8" s="68" t="s">
        <v>2726</v>
      </c>
      <c r="K8" s="67" t="s">
        <v>2727</v>
      </c>
      <c r="L8" s="68" t="s">
        <v>2728</v>
      </c>
      <c r="M8" s="67" t="s">
        <v>2729</v>
      </c>
      <c r="N8" s="69" t="s">
        <v>2730</v>
      </c>
      <c r="O8" s="66" t="s">
        <v>2731</v>
      </c>
      <c r="P8" s="68" t="s">
        <v>2732</v>
      </c>
      <c r="Q8" s="68" t="s">
        <v>2733</v>
      </c>
      <c r="R8" s="68" t="s">
        <v>2734</v>
      </c>
      <c r="S8" s="68" t="s">
        <v>2735</v>
      </c>
      <c r="T8" s="68" t="s">
        <v>2736</v>
      </c>
      <c r="U8" s="68" t="s">
        <v>2737</v>
      </c>
      <c r="V8" s="68" t="s">
        <v>2738</v>
      </c>
      <c r="W8" s="68" t="s">
        <v>2739</v>
      </c>
      <c r="X8" s="68" t="s">
        <v>2740</v>
      </c>
      <c r="Y8" s="68" t="s">
        <v>2741</v>
      </c>
      <c r="Z8" s="69" t="s">
        <v>2742</v>
      </c>
      <c r="AA8" s="66" t="s">
        <v>2743</v>
      </c>
      <c r="AB8" s="68" t="s">
        <v>2744</v>
      </c>
      <c r="AC8" s="68" t="s">
        <v>2745</v>
      </c>
      <c r="AD8" s="68" t="s">
        <v>2746</v>
      </c>
      <c r="AE8" s="68" t="s">
        <v>2747</v>
      </c>
      <c r="AF8" s="68" t="s">
        <v>2748</v>
      </c>
      <c r="AG8" s="68" t="s">
        <v>2749</v>
      </c>
      <c r="AH8" s="69" t="s">
        <v>2750</v>
      </c>
      <c r="AI8" s="66" t="s">
        <v>2751</v>
      </c>
      <c r="AJ8" s="68" t="s">
        <v>2752</v>
      </c>
      <c r="AK8" s="68" t="s">
        <v>2753</v>
      </c>
      <c r="AL8" s="68" t="s">
        <v>2754</v>
      </c>
      <c r="AM8" s="68" t="s">
        <v>2755</v>
      </c>
      <c r="AN8" s="68" t="s">
        <v>2756</v>
      </c>
      <c r="AO8" s="68" t="s">
        <v>2757</v>
      </c>
      <c r="AP8" s="68" t="s">
        <v>2758</v>
      </c>
      <c r="AQ8" s="69" t="s">
        <v>2759</v>
      </c>
      <c r="AR8" s="66" t="s">
        <v>2760</v>
      </c>
      <c r="AS8" s="68" t="s">
        <v>2761</v>
      </c>
      <c r="AT8" s="68" t="s">
        <v>2762</v>
      </c>
      <c r="AU8" s="68" t="s">
        <v>2763</v>
      </c>
      <c r="AV8" s="68" t="s">
        <v>2764</v>
      </c>
      <c r="AW8" s="69" t="s">
        <v>2765</v>
      </c>
      <c r="AX8" s="66" t="s">
        <v>2766</v>
      </c>
      <c r="AY8" s="69" t="s">
        <v>2767</v>
      </c>
      <c r="BA8" s="9"/>
      <c r="BB8" s="9"/>
    </row>
    <row r="9" customFormat="false" ht="18" hidden="false" customHeight="true" outlineLevel="0" collapsed="false">
      <c r="A9" s="50"/>
      <c r="B9" s="60" t="n">
        <v>4</v>
      </c>
      <c r="C9" s="59" t="s">
        <v>196</v>
      </c>
      <c r="D9" s="60" t="s">
        <v>2768</v>
      </c>
      <c r="E9" s="62" t="s">
        <v>2769</v>
      </c>
      <c r="F9" s="62" t="s">
        <v>2770</v>
      </c>
      <c r="G9" s="61"/>
      <c r="H9" s="62" t="s">
        <v>2771</v>
      </c>
      <c r="I9" s="62" t="s">
        <v>2772</v>
      </c>
      <c r="J9" s="62" t="s">
        <v>2773</v>
      </c>
      <c r="K9" s="62" t="s">
        <v>2774</v>
      </c>
      <c r="L9" s="62" t="s">
        <v>2775</v>
      </c>
      <c r="M9" s="62" t="s">
        <v>2776</v>
      </c>
      <c r="N9" s="63" t="s">
        <v>2777</v>
      </c>
      <c r="O9" s="60" t="s">
        <v>2778</v>
      </c>
      <c r="P9" s="62" t="s">
        <v>2779</v>
      </c>
      <c r="Q9" s="62" t="s">
        <v>2780</v>
      </c>
      <c r="R9" s="62" t="s">
        <v>2781</v>
      </c>
      <c r="S9" s="62" t="s">
        <v>2782</v>
      </c>
      <c r="T9" s="62" t="s">
        <v>2783</v>
      </c>
      <c r="U9" s="62" t="s">
        <v>2784</v>
      </c>
      <c r="V9" s="62" t="s">
        <v>2785</v>
      </c>
      <c r="W9" s="62" t="s">
        <v>2786</v>
      </c>
      <c r="X9" s="62" t="s">
        <v>2787</v>
      </c>
      <c r="Y9" s="62" t="s">
        <v>2788</v>
      </c>
      <c r="Z9" s="63" t="s">
        <v>2789</v>
      </c>
      <c r="AA9" s="60" t="s">
        <v>2790</v>
      </c>
      <c r="AB9" s="62" t="s">
        <v>2791</v>
      </c>
      <c r="AC9" s="62" t="s">
        <v>2792</v>
      </c>
      <c r="AD9" s="62" t="s">
        <v>2793</v>
      </c>
      <c r="AE9" s="62" t="s">
        <v>2794</v>
      </c>
      <c r="AF9" s="62" t="s">
        <v>2795</v>
      </c>
      <c r="AG9" s="62" t="s">
        <v>2796</v>
      </c>
      <c r="AH9" s="63" t="s">
        <v>2797</v>
      </c>
      <c r="AI9" s="60" t="s">
        <v>2798</v>
      </c>
      <c r="AJ9" s="62" t="s">
        <v>2799</v>
      </c>
      <c r="AK9" s="62" t="s">
        <v>2800</v>
      </c>
      <c r="AL9" s="62" t="s">
        <v>2801</v>
      </c>
      <c r="AM9" s="62" t="s">
        <v>2802</v>
      </c>
      <c r="AN9" s="62" t="s">
        <v>2803</v>
      </c>
      <c r="AO9" s="62" t="s">
        <v>2804</v>
      </c>
      <c r="AP9" s="62" t="s">
        <v>2805</v>
      </c>
      <c r="AQ9" s="63" t="s">
        <v>2806</v>
      </c>
      <c r="AR9" s="60" t="s">
        <v>2807</v>
      </c>
      <c r="AS9" s="62" t="s">
        <v>2808</v>
      </c>
      <c r="AT9" s="62" t="s">
        <v>2809</v>
      </c>
      <c r="AU9" s="62" t="s">
        <v>2810</v>
      </c>
      <c r="AV9" s="62" t="s">
        <v>2811</v>
      </c>
      <c r="AW9" s="63" t="s">
        <v>2812</v>
      </c>
      <c r="AX9" s="60" t="s">
        <v>2813</v>
      </c>
      <c r="AY9" s="63" t="s">
        <v>2814</v>
      </c>
      <c r="BA9" s="9"/>
      <c r="BB9" s="9"/>
    </row>
    <row r="10" customFormat="false" ht="18" hidden="false" customHeight="true" outlineLevel="0" collapsed="false">
      <c r="A10" s="50"/>
      <c r="B10" s="64" t="n">
        <v>5</v>
      </c>
      <c r="C10" s="65" t="s">
        <v>2815</v>
      </c>
      <c r="D10" s="66" t="s">
        <v>2816</v>
      </c>
      <c r="E10" s="67" t="s">
        <v>2817</v>
      </c>
      <c r="F10" s="68" t="s">
        <v>2818</v>
      </c>
      <c r="G10" s="67" t="s">
        <v>2819</v>
      </c>
      <c r="H10" s="61"/>
      <c r="I10" s="67" t="s">
        <v>2820</v>
      </c>
      <c r="J10" s="68" t="s">
        <v>2821</v>
      </c>
      <c r="K10" s="67" t="s">
        <v>2822</v>
      </c>
      <c r="L10" s="68" t="s">
        <v>2823</v>
      </c>
      <c r="M10" s="67" t="s">
        <v>2824</v>
      </c>
      <c r="N10" s="69" t="s">
        <v>2825</v>
      </c>
      <c r="O10" s="66" t="s">
        <v>2826</v>
      </c>
      <c r="P10" s="68" t="s">
        <v>2827</v>
      </c>
      <c r="Q10" s="68" t="s">
        <v>2828</v>
      </c>
      <c r="R10" s="68" t="s">
        <v>2829</v>
      </c>
      <c r="S10" s="68" t="s">
        <v>2830</v>
      </c>
      <c r="T10" s="68" t="s">
        <v>2831</v>
      </c>
      <c r="U10" s="68" t="s">
        <v>2832</v>
      </c>
      <c r="V10" s="68" t="s">
        <v>2833</v>
      </c>
      <c r="W10" s="68" t="s">
        <v>2834</v>
      </c>
      <c r="X10" s="68" t="s">
        <v>2835</v>
      </c>
      <c r="Y10" s="68" t="s">
        <v>2836</v>
      </c>
      <c r="Z10" s="69" t="s">
        <v>2837</v>
      </c>
      <c r="AA10" s="66" t="s">
        <v>2838</v>
      </c>
      <c r="AB10" s="68" t="s">
        <v>2839</v>
      </c>
      <c r="AC10" s="68" t="s">
        <v>2840</v>
      </c>
      <c r="AD10" s="68" t="s">
        <v>2841</v>
      </c>
      <c r="AE10" s="68" t="s">
        <v>2842</v>
      </c>
      <c r="AF10" s="68" t="s">
        <v>2843</v>
      </c>
      <c r="AG10" s="68" t="s">
        <v>2844</v>
      </c>
      <c r="AH10" s="69" t="s">
        <v>2845</v>
      </c>
      <c r="AI10" s="66" t="s">
        <v>2846</v>
      </c>
      <c r="AJ10" s="68" t="s">
        <v>2847</v>
      </c>
      <c r="AK10" s="68" t="s">
        <v>2848</v>
      </c>
      <c r="AL10" s="68" t="s">
        <v>2849</v>
      </c>
      <c r="AM10" s="68" t="s">
        <v>2850</v>
      </c>
      <c r="AN10" s="68" t="s">
        <v>2851</v>
      </c>
      <c r="AO10" s="68" t="s">
        <v>2852</v>
      </c>
      <c r="AP10" s="68" t="s">
        <v>2853</v>
      </c>
      <c r="AQ10" s="69" t="s">
        <v>2854</v>
      </c>
      <c r="AR10" s="66" t="s">
        <v>2855</v>
      </c>
      <c r="AS10" s="68" t="s">
        <v>2856</v>
      </c>
      <c r="AT10" s="68" t="s">
        <v>2857</v>
      </c>
      <c r="AU10" s="68" t="s">
        <v>2858</v>
      </c>
      <c r="AV10" s="68" t="s">
        <v>2859</v>
      </c>
      <c r="AW10" s="69" t="s">
        <v>2860</v>
      </c>
      <c r="AX10" s="66" t="s">
        <v>2861</v>
      </c>
      <c r="AY10" s="69" t="s">
        <v>2862</v>
      </c>
      <c r="BA10" s="9"/>
      <c r="BB10" s="9"/>
    </row>
    <row r="11" customFormat="false" ht="18" hidden="false" customHeight="true" outlineLevel="0" collapsed="false">
      <c r="A11" s="50"/>
      <c r="B11" s="60" t="n">
        <v>6</v>
      </c>
      <c r="C11" s="59" t="s">
        <v>11</v>
      </c>
      <c r="D11" s="60" t="s">
        <v>2863</v>
      </c>
      <c r="E11" s="62" t="s">
        <v>2864</v>
      </c>
      <c r="F11" s="62" t="s">
        <v>2865</v>
      </c>
      <c r="G11" s="62" t="s">
        <v>2866</v>
      </c>
      <c r="H11" s="62" t="s">
        <v>2867</v>
      </c>
      <c r="I11" s="61"/>
      <c r="J11" s="62" t="s">
        <v>2868</v>
      </c>
      <c r="K11" s="62" t="s">
        <v>2869</v>
      </c>
      <c r="L11" s="62" t="s">
        <v>2870</v>
      </c>
      <c r="M11" s="62" t="s">
        <v>2871</v>
      </c>
      <c r="N11" s="63" t="s">
        <v>2872</v>
      </c>
      <c r="O11" s="60" t="s">
        <v>2873</v>
      </c>
      <c r="P11" s="62" t="s">
        <v>2874</v>
      </c>
      <c r="Q11" s="62" t="s">
        <v>2875</v>
      </c>
      <c r="R11" s="62" t="s">
        <v>2876</v>
      </c>
      <c r="S11" s="62" t="s">
        <v>2877</v>
      </c>
      <c r="T11" s="62" t="s">
        <v>2878</v>
      </c>
      <c r="U11" s="62" t="s">
        <v>2879</v>
      </c>
      <c r="V11" s="62" t="s">
        <v>2880</v>
      </c>
      <c r="W11" s="62" t="s">
        <v>2881</v>
      </c>
      <c r="X11" s="62" t="s">
        <v>2882</v>
      </c>
      <c r="Y11" s="62" t="s">
        <v>2883</v>
      </c>
      <c r="Z11" s="63" t="s">
        <v>2884</v>
      </c>
      <c r="AA11" s="60" t="s">
        <v>2885</v>
      </c>
      <c r="AB11" s="62" t="s">
        <v>2886</v>
      </c>
      <c r="AC11" s="62" t="s">
        <v>2887</v>
      </c>
      <c r="AD11" s="62" t="s">
        <v>2888</v>
      </c>
      <c r="AE11" s="62" t="s">
        <v>2889</v>
      </c>
      <c r="AF11" s="62" t="s">
        <v>2890</v>
      </c>
      <c r="AG11" s="62" t="s">
        <v>2891</v>
      </c>
      <c r="AH11" s="63" t="s">
        <v>2892</v>
      </c>
      <c r="AI11" s="60" t="s">
        <v>2893</v>
      </c>
      <c r="AJ11" s="62" t="s">
        <v>2894</v>
      </c>
      <c r="AK11" s="62" t="s">
        <v>2895</v>
      </c>
      <c r="AL11" s="62" t="s">
        <v>2896</v>
      </c>
      <c r="AM11" s="62" t="s">
        <v>2897</v>
      </c>
      <c r="AN11" s="62" t="s">
        <v>2898</v>
      </c>
      <c r="AO11" s="62" t="s">
        <v>2899</v>
      </c>
      <c r="AP11" s="62" t="s">
        <v>2900</v>
      </c>
      <c r="AQ11" s="63" t="s">
        <v>2901</v>
      </c>
      <c r="AR11" s="60" t="s">
        <v>2902</v>
      </c>
      <c r="AS11" s="62" t="s">
        <v>2903</v>
      </c>
      <c r="AT11" s="62" t="s">
        <v>2904</v>
      </c>
      <c r="AU11" s="62" t="s">
        <v>2905</v>
      </c>
      <c r="AV11" s="62" t="s">
        <v>2906</v>
      </c>
      <c r="AW11" s="63" t="s">
        <v>2907</v>
      </c>
      <c r="AX11" s="60" t="s">
        <v>2908</v>
      </c>
      <c r="AY11" s="63" t="s">
        <v>2909</v>
      </c>
      <c r="BA11" s="9"/>
      <c r="BB11" s="70"/>
    </row>
    <row r="12" customFormat="false" ht="18" hidden="false" customHeight="true" outlineLevel="0" collapsed="false">
      <c r="A12" s="50"/>
      <c r="B12" s="64" t="n">
        <v>7</v>
      </c>
      <c r="C12" s="65" t="s">
        <v>12</v>
      </c>
      <c r="D12" s="66" t="s">
        <v>2910</v>
      </c>
      <c r="E12" s="67" t="s">
        <v>2911</v>
      </c>
      <c r="F12" s="68" t="s">
        <v>2912</v>
      </c>
      <c r="G12" s="67" t="s">
        <v>2913</v>
      </c>
      <c r="H12" s="68" t="s">
        <v>2914</v>
      </c>
      <c r="I12" s="67" t="s">
        <v>2915</v>
      </c>
      <c r="J12" s="61"/>
      <c r="K12" s="67" t="s">
        <v>2916</v>
      </c>
      <c r="L12" s="68" t="s">
        <v>2917</v>
      </c>
      <c r="M12" s="67" t="s">
        <v>2918</v>
      </c>
      <c r="N12" s="69" t="s">
        <v>2919</v>
      </c>
      <c r="O12" s="66" t="s">
        <v>2920</v>
      </c>
      <c r="P12" s="68" t="s">
        <v>2921</v>
      </c>
      <c r="Q12" s="68" t="s">
        <v>2922</v>
      </c>
      <c r="R12" s="68" t="s">
        <v>2923</v>
      </c>
      <c r="S12" s="68" t="s">
        <v>2924</v>
      </c>
      <c r="T12" s="68" t="s">
        <v>2925</v>
      </c>
      <c r="U12" s="68" t="s">
        <v>2926</v>
      </c>
      <c r="V12" s="68" t="s">
        <v>2927</v>
      </c>
      <c r="W12" s="68" t="s">
        <v>2928</v>
      </c>
      <c r="X12" s="68" t="s">
        <v>2929</v>
      </c>
      <c r="Y12" s="68" t="s">
        <v>2930</v>
      </c>
      <c r="Z12" s="69" t="s">
        <v>2931</v>
      </c>
      <c r="AA12" s="66" t="s">
        <v>2932</v>
      </c>
      <c r="AB12" s="68" t="s">
        <v>2933</v>
      </c>
      <c r="AC12" s="68" t="s">
        <v>2934</v>
      </c>
      <c r="AD12" s="68" t="s">
        <v>2935</v>
      </c>
      <c r="AE12" s="68" t="s">
        <v>2936</v>
      </c>
      <c r="AF12" s="68" t="s">
        <v>2937</v>
      </c>
      <c r="AG12" s="68" t="s">
        <v>2938</v>
      </c>
      <c r="AH12" s="69" t="s">
        <v>2939</v>
      </c>
      <c r="AI12" s="66" t="s">
        <v>2940</v>
      </c>
      <c r="AJ12" s="68" t="s">
        <v>2941</v>
      </c>
      <c r="AK12" s="68" t="s">
        <v>2942</v>
      </c>
      <c r="AL12" s="68" t="s">
        <v>2943</v>
      </c>
      <c r="AM12" s="68" t="s">
        <v>2944</v>
      </c>
      <c r="AN12" s="68" t="s">
        <v>2945</v>
      </c>
      <c r="AO12" s="68" t="s">
        <v>2946</v>
      </c>
      <c r="AP12" s="68" t="s">
        <v>2947</v>
      </c>
      <c r="AQ12" s="69" t="s">
        <v>2948</v>
      </c>
      <c r="AR12" s="66" t="s">
        <v>2949</v>
      </c>
      <c r="AS12" s="68" t="s">
        <v>2950</v>
      </c>
      <c r="AT12" s="68" t="s">
        <v>2951</v>
      </c>
      <c r="AU12" s="68" t="s">
        <v>2952</v>
      </c>
      <c r="AV12" s="68" t="s">
        <v>2953</v>
      </c>
      <c r="AW12" s="69" t="s">
        <v>2954</v>
      </c>
      <c r="AX12" s="66" t="s">
        <v>2955</v>
      </c>
      <c r="AY12" s="69" t="s">
        <v>2956</v>
      </c>
      <c r="BA12" s="2"/>
      <c r="BB12" s="388"/>
    </row>
    <row r="13" customFormat="false" ht="18" hidden="false" customHeight="true" outlineLevel="0" collapsed="false">
      <c r="A13" s="50"/>
      <c r="B13" s="60" t="n">
        <v>8</v>
      </c>
      <c r="C13" s="59" t="s">
        <v>13</v>
      </c>
      <c r="D13" s="60" t="s">
        <v>2958</v>
      </c>
      <c r="E13" s="62" t="s">
        <v>2959</v>
      </c>
      <c r="F13" s="62" t="s">
        <v>2960</v>
      </c>
      <c r="G13" s="62" t="s">
        <v>2961</v>
      </c>
      <c r="H13" s="62" t="s">
        <v>2962</v>
      </c>
      <c r="I13" s="62" t="s">
        <v>2963</v>
      </c>
      <c r="J13" s="62" t="s">
        <v>2964</v>
      </c>
      <c r="K13" s="61"/>
      <c r="L13" s="62" t="s">
        <v>2965</v>
      </c>
      <c r="M13" s="62" t="s">
        <v>2966</v>
      </c>
      <c r="N13" s="63" t="s">
        <v>2967</v>
      </c>
      <c r="O13" s="60" t="s">
        <v>2968</v>
      </c>
      <c r="P13" s="62" t="s">
        <v>2969</v>
      </c>
      <c r="Q13" s="62" t="s">
        <v>2970</v>
      </c>
      <c r="R13" s="62" t="s">
        <v>2971</v>
      </c>
      <c r="S13" s="62" t="s">
        <v>2972</v>
      </c>
      <c r="T13" s="62" t="s">
        <v>2973</v>
      </c>
      <c r="U13" s="62" t="s">
        <v>2974</v>
      </c>
      <c r="V13" s="62" t="s">
        <v>2975</v>
      </c>
      <c r="W13" s="62" t="s">
        <v>2976</v>
      </c>
      <c r="X13" s="62" t="s">
        <v>2977</v>
      </c>
      <c r="Y13" s="62" t="s">
        <v>2978</v>
      </c>
      <c r="Z13" s="63" t="s">
        <v>2979</v>
      </c>
      <c r="AA13" s="60" t="s">
        <v>2980</v>
      </c>
      <c r="AB13" s="62" t="s">
        <v>2981</v>
      </c>
      <c r="AC13" s="62" t="s">
        <v>2982</v>
      </c>
      <c r="AD13" s="62" t="s">
        <v>2983</v>
      </c>
      <c r="AE13" s="62" t="s">
        <v>2984</v>
      </c>
      <c r="AF13" s="62" t="s">
        <v>2985</v>
      </c>
      <c r="AG13" s="62" t="s">
        <v>2986</v>
      </c>
      <c r="AH13" s="63" t="s">
        <v>2987</v>
      </c>
      <c r="AI13" s="60" t="s">
        <v>2988</v>
      </c>
      <c r="AJ13" s="62" t="s">
        <v>2989</v>
      </c>
      <c r="AK13" s="62" t="s">
        <v>2990</v>
      </c>
      <c r="AL13" s="62" t="s">
        <v>2991</v>
      </c>
      <c r="AM13" s="62" t="s">
        <v>2992</v>
      </c>
      <c r="AN13" s="62" t="s">
        <v>2993</v>
      </c>
      <c r="AO13" s="62" t="s">
        <v>2994</v>
      </c>
      <c r="AP13" s="62" t="s">
        <v>2995</v>
      </c>
      <c r="AQ13" s="63" t="s">
        <v>2996</v>
      </c>
      <c r="AR13" s="60" t="s">
        <v>2997</v>
      </c>
      <c r="AS13" s="62" t="s">
        <v>2998</v>
      </c>
      <c r="AT13" s="62" t="s">
        <v>2999</v>
      </c>
      <c r="AU13" s="62" t="s">
        <v>3000</v>
      </c>
      <c r="AV13" s="62" t="s">
        <v>3001</v>
      </c>
      <c r="AW13" s="63" t="s">
        <v>3002</v>
      </c>
      <c r="AX13" s="60" t="s">
        <v>3003</v>
      </c>
      <c r="AY13" s="63" t="s">
        <v>3004</v>
      </c>
      <c r="BA13" s="73" t="s">
        <v>433</v>
      </c>
      <c r="BB13" s="73"/>
    </row>
    <row r="14" customFormat="false" ht="18" hidden="false" customHeight="true" outlineLevel="0" collapsed="false">
      <c r="A14" s="50"/>
      <c r="B14" s="64" t="n">
        <v>9</v>
      </c>
      <c r="C14" s="65" t="s">
        <v>14</v>
      </c>
      <c r="D14" s="66" t="s">
        <v>3005</v>
      </c>
      <c r="E14" s="67" t="s">
        <v>3006</v>
      </c>
      <c r="F14" s="68" t="s">
        <v>3007</v>
      </c>
      <c r="G14" s="67" t="s">
        <v>3008</v>
      </c>
      <c r="H14" s="68" t="s">
        <v>3009</v>
      </c>
      <c r="I14" s="67" t="s">
        <v>3010</v>
      </c>
      <c r="J14" s="68" t="s">
        <v>3011</v>
      </c>
      <c r="K14" s="67" t="s">
        <v>3012</v>
      </c>
      <c r="L14" s="61"/>
      <c r="M14" s="67" t="s">
        <v>3013</v>
      </c>
      <c r="N14" s="69" t="s">
        <v>3014</v>
      </c>
      <c r="O14" s="66" t="s">
        <v>3015</v>
      </c>
      <c r="P14" s="68" t="s">
        <v>3016</v>
      </c>
      <c r="Q14" s="68" t="s">
        <v>3017</v>
      </c>
      <c r="R14" s="68" t="s">
        <v>3018</v>
      </c>
      <c r="S14" s="68" t="s">
        <v>3019</v>
      </c>
      <c r="T14" s="68" t="s">
        <v>3020</v>
      </c>
      <c r="U14" s="68" t="s">
        <v>3021</v>
      </c>
      <c r="V14" s="68" t="s">
        <v>3022</v>
      </c>
      <c r="W14" s="68" t="s">
        <v>3023</v>
      </c>
      <c r="X14" s="68" t="s">
        <v>3024</v>
      </c>
      <c r="Y14" s="68" t="s">
        <v>3025</v>
      </c>
      <c r="Z14" s="69" t="s">
        <v>3026</v>
      </c>
      <c r="AA14" s="66" t="s">
        <v>3027</v>
      </c>
      <c r="AB14" s="68" t="s">
        <v>3028</v>
      </c>
      <c r="AC14" s="68" t="s">
        <v>3029</v>
      </c>
      <c r="AD14" s="68" t="s">
        <v>3030</v>
      </c>
      <c r="AE14" s="68" t="s">
        <v>3031</v>
      </c>
      <c r="AF14" s="68" t="s">
        <v>3032</v>
      </c>
      <c r="AG14" s="68" t="s">
        <v>3033</v>
      </c>
      <c r="AH14" s="69" t="s">
        <v>3034</v>
      </c>
      <c r="AI14" s="66" t="s">
        <v>3035</v>
      </c>
      <c r="AJ14" s="68" t="s">
        <v>3036</v>
      </c>
      <c r="AK14" s="68" t="s">
        <v>3037</v>
      </c>
      <c r="AL14" s="68" t="s">
        <v>3038</v>
      </c>
      <c r="AM14" s="68" t="s">
        <v>3039</v>
      </c>
      <c r="AN14" s="68" t="s">
        <v>3040</v>
      </c>
      <c r="AO14" s="68" t="s">
        <v>3041</v>
      </c>
      <c r="AP14" s="68" t="s">
        <v>3042</v>
      </c>
      <c r="AQ14" s="69" t="s">
        <v>3043</v>
      </c>
      <c r="AR14" s="66" t="s">
        <v>3044</v>
      </c>
      <c r="AS14" s="68" t="s">
        <v>3045</v>
      </c>
      <c r="AT14" s="68" t="s">
        <v>3046</v>
      </c>
      <c r="AU14" s="68" t="s">
        <v>3047</v>
      </c>
      <c r="AV14" s="68" t="s">
        <v>3048</v>
      </c>
      <c r="AW14" s="69" t="s">
        <v>3049</v>
      </c>
      <c r="AX14" s="66" t="s">
        <v>3050</v>
      </c>
      <c r="AY14" s="69" t="s">
        <v>3051</v>
      </c>
      <c r="BA14" s="389" t="n">
        <v>1</v>
      </c>
      <c r="BB14" s="390" t="s">
        <v>481</v>
      </c>
    </row>
    <row r="15" customFormat="false" ht="18" hidden="false" customHeight="true" outlineLevel="0" collapsed="false">
      <c r="A15" s="50"/>
      <c r="B15" s="60" t="n">
        <v>10</v>
      </c>
      <c r="C15" s="59" t="s">
        <v>15</v>
      </c>
      <c r="D15" s="60" t="s">
        <v>3052</v>
      </c>
      <c r="E15" s="62" t="s">
        <v>3053</v>
      </c>
      <c r="F15" s="62" t="s">
        <v>3054</v>
      </c>
      <c r="G15" s="62" t="s">
        <v>3055</v>
      </c>
      <c r="H15" s="62" t="s">
        <v>3056</v>
      </c>
      <c r="I15" s="62" t="s">
        <v>3057</v>
      </c>
      <c r="J15" s="62" t="s">
        <v>3058</v>
      </c>
      <c r="K15" s="62" t="s">
        <v>3059</v>
      </c>
      <c r="L15" s="62" t="s">
        <v>3060</v>
      </c>
      <c r="M15" s="61"/>
      <c r="N15" s="63" t="s">
        <v>3061</v>
      </c>
      <c r="O15" s="60" t="s">
        <v>3062</v>
      </c>
      <c r="P15" s="62" t="s">
        <v>3063</v>
      </c>
      <c r="Q15" s="62" t="s">
        <v>3064</v>
      </c>
      <c r="R15" s="62" t="s">
        <v>3065</v>
      </c>
      <c r="S15" s="62" t="s">
        <v>3066</v>
      </c>
      <c r="T15" s="62" t="s">
        <v>3067</v>
      </c>
      <c r="U15" s="62" t="s">
        <v>3068</v>
      </c>
      <c r="V15" s="62" t="s">
        <v>3069</v>
      </c>
      <c r="W15" s="62" t="s">
        <v>3070</v>
      </c>
      <c r="X15" s="62" t="s">
        <v>3071</v>
      </c>
      <c r="Y15" s="62" t="s">
        <v>3072</v>
      </c>
      <c r="Z15" s="63" t="s">
        <v>3073</v>
      </c>
      <c r="AA15" s="60" t="s">
        <v>3074</v>
      </c>
      <c r="AB15" s="62" t="s">
        <v>3075</v>
      </c>
      <c r="AC15" s="62" t="s">
        <v>3076</v>
      </c>
      <c r="AD15" s="62" t="s">
        <v>3077</v>
      </c>
      <c r="AE15" s="62" t="s">
        <v>3078</v>
      </c>
      <c r="AF15" s="62" t="s">
        <v>3079</v>
      </c>
      <c r="AG15" s="62" t="s">
        <v>3080</v>
      </c>
      <c r="AH15" s="63" t="s">
        <v>3081</v>
      </c>
      <c r="AI15" s="60" t="s">
        <v>3082</v>
      </c>
      <c r="AJ15" s="62" t="s">
        <v>3083</v>
      </c>
      <c r="AK15" s="62" t="s">
        <v>3084</v>
      </c>
      <c r="AL15" s="62" t="s">
        <v>3085</v>
      </c>
      <c r="AM15" s="62" t="s">
        <v>3086</v>
      </c>
      <c r="AN15" s="62" t="s">
        <v>3087</v>
      </c>
      <c r="AO15" s="62" t="s">
        <v>3088</v>
      </c>
      <c r="AP15" s="62" t="s">
        <v>3089</v>
      </c>
      <c r="AQ15" s="63" t="s">
        <v>3090</v>
      </c>
      <c r="AR15" s="60" t="s">
        <v>3091</v>
      </c>
      <c r="AS15" s="62" t="s">
        <v>3092</v>
      </c>
      <c r="AT15" s="62" t="s">
        <v>3093</v>
      </c>
      <c r="AU15" s="62" t="s">
        <v>3094</v>
      </c>
      <c r="AV15" s="62" t="s">
        <v>3095</v>
      </c>
      <c r="AW15" s="63" t="s">
        <v>3096</v>
      </c>
      <c r="AX15" s="60" t="s">
        <v>3097</v>
      </c>
      <c r="AY15" s="63" t="s">
        <v>3098</v>
      </c>
      <c r="BA15" s="389" t="n">
        <v>2</v>
      </c>
      <c r="BB15" s="390" t="s">
        <v>529</v>
      </c>
    </row>
    <row r="16" customFormat="false" ht="18" hidden="false" customHeight="true" outlineLevel="0" collapsed="false">
      <c r="A16" s="50"/>
      <c r="B16" s="78" t="n">
        <v>11</v>
      </c>
      <c r="C16" s="79" t="s">
        <v>530</v>
      </c>
      <c r="D16" s="80" t="s">
        <v>3099</v>
      </c>
      <c r="E16" s="81" t="s">
        <v>3100</v>
      </c>
      <c r="F16" s="82" t="s">
        <v>3101</v>
      </c>
      <c r="G16" s="81" t="s">
        <v>3102</v>
      </c>
      <c r="H16" s="82" t="s">
        <v>3103</v>
      </c>
      <c r="I16" s="81" t="s">
        <v>3104</v>
      </c>
      <c r="J16" s="82" t="s">
        <v>3105</v>
      </c>
      <c r="K16" s="81" t="s">
        <v>3106</v>
      </c>
      <c r="L16" s="81" t="s">
        <v>3107</v>
      </c>
      <c r="M16" s="81" t="s">
        <v>3108</v>
      </c>
      <c r="N16" s="83"/>
      <c r="O16" s="84" t="s">
        <v>3109</v>
      </c>
      <c r="P16" s="85" t="s">
        <v>3110</v>
      </c>
      <c r="Q16" s="85" t="s">
        <v>3111</v>
      </c>
      <c r="R16" s="85" t="s">
        <v>3112</v>
      </c>
      <c r="S16" s="85" t="s">
        <v>3113</v>
      </c>
      <c r="T16" s="85" t="s">
        <v>3114</v>
      </c>
      <c r="U16" s="85" t="s">
        <v>3115</v>
      </c>
      <c r="V16" s="85" t="s">
        <v>3116</v>
      </c>
      <c r="W16" s="85" t="s">
        <v>3117</v>
      </c>
      <c r="X16" s="85" t="s">
        <v>3118</v>
      </c>
      <c r="Y16" s="85" t="s">
        <v>3119</v>
      </c>
      <c r="Z16" s="86" t="s">
        <v>3120</v>
      </c>
      <c r="AA16" s="84" t="s">
        <v>3121</v>
      </c>
      <c r="AB16" s="85" t="s">
        <v>3122</v>
      </c>
      <c r="AC16" s="85" t="s">
        <v>3123</v>
      </c>
      <c r="AD16" s="85" t="s">
        <v>3124</v>
      </c>
      <c r="AE16" s="85" t="s">
        <v>3125</v>
      </c>
      <c r="AF16" s="85" t="s">
        <v>3126</v>
      </c>
      <c r="AG16" s="85" t="s">
        <v>3127</v>
      </c>
      <c r="AH16" s="86" t="s">
        <v>3128</v>
      </c>
      <c r="AI16" s="84" t="s">
        <v>3129</v>
      </c>
      <c r="AJ16" s="85" t="s">
        <v>3130</v>
      </c>
      <c r="AK16" s="85" t="s">
        <v>3131</v>
      </c>
      <c r="AL16" s="85" t="s">
        <v>3132</v>
      </c>
      <c r="AM16" s="85" t="s">
        <v>3133</v>
      </c>
      <c r="AN16" s="85" t="s">
        <v>3134</v>
      </c>
      <c r="AO16" s="85" t="s">
        <v>3135</v>
      </c>
      <c r="AP16" s="85" t="s">
        <v>3136</v>
      </c>
      <c r="AQ16" s="86" t="s">
        <v>3137</v>
      </c>
      <c r="AR16" s="84" t="s">
        <v>3138</v>
      </c>
      <c r="AS16" s="85" t="s">
        <v>3139</v>
      </c>
      <c r="AT16" s="85" t="s">
        <v>3140</v>
      </c>
      <c r="AU16" s="85" t="s">
        <v>3141</v>
      </c>
      <c r="AV16" s="85" t="s">
        <v>3142</v>
      </c>
      <c r="AW16" s="86" t="s">
        <v>3143</v>
      </c>
      <c r="AX16" s="84" t="s">
        <v>3144</v>
      </c>
      <c r="AY16" s="86" t="s">
        <v>3145</v>
      </c>
      <c r="BA16" s="389" t="n">
        <v>3</v>
      </c>
      <c r="BB16" s="390" t="s">
        <v>578</v>
      </c>
    </row>
    <row r="17" customFormat="false" ht="18" hidden="false" customHeight="true" outlineLevel="0" collapsed="false">
      <c r="A17" s="87" t="s">
        <v>1</v>
      </c>
      <c r="B17" s="88" t="n">
        <v>12</v>
      </c>
      <c r="C17" s="89" t="s">
        <v>579</v>
      </c>
      <c r="D17" s="88" t="s">
        <v>3146</v>
      </c>
      <c r="E17" s="90" t="s">
        <v>3147</v>
      </c>
      <c r="F17" s="90" t="s">
        <v>3148</v>
      </c>
      <c r="G17" s="90" t="s">
        <v>3149</v>
      </c>
      <c r="H17" s="90" t="s">
        <v>3150</v>
      </c>
      <c r="I17" s="90" t="s">
        <v>3151</v>
      </c>
      <c r="J17" s="90" t="s">
        <v>3152</v>
      </c>
      <c r="K17" s="90" t="s">
        <v>3153</v>
      </c>
      <c r="L17" s="90" t="s">
        <v>3154</v>
      </c>
      <c r="M17" s="90" t="s">
        <v>3155</v>
      </c>
      <c r="N17" s="91" t="s">
        <v>3156</v>
      </c>
      <c r="O17" s="53"/>
      <c r="P17" s="90" t="s">
        <v>3157</v>
      </c>
      <c r="Q17" s="90" t="s">
        <v>3158</v>
      </c>
      <c r="R17" s="90" t="s">
        <v>3159</v>
      </c>
      <c r="S17" s="90" t="s">
        <v>3160</v>
      </c>
      <c r="T17" s="90" t="s">
        <v>3161</v>
      </c>
      <c r="U17" s="90" t="s">
        <v>3162</v>
      </c>
      <c r="V17" s="90" t="s">
        <v>3163</v>
      </c>
      <c r="W17" s="90" t="s">
        <v>3164</v>
      </c>
      <c r="X17" s="90" t="s">
        <v>3165</v>
      </c>
      <c r="Y17" s="90" t="s">
        <v>3166</v>
      </c>
      <c r="Z17" s="91" t="s">
        <v>3167</v>
      </c>
      <c r="AA17" s="88" t="s">
        <v>3168</v>
      </c>
      <c r="AB17" s="90" t="s">
        <v>3169</v>
      </c>
      <c r="AC17" s="90" t="s">
        <v>3170</v>
      </c>
      <c r="AD17" s="90" t="s">
        <v>3171</v>
      </c>
      <c r="AE17" s="90" t="s">
        <v>3172</v>
      </c>
      <c r="AF17" s="90" t="s">
        <v>3173</v>
      </c>
      <c r="AG17" s="90" t="s">
        <v>3174</v>
      </c>
      <c r="AH17" s="91" t="s">
        <v>3175</v>
      </c>
      <c r="AI17" s="88" t="s">
        <v>3176</v>
      </c>
      <c r="AJ17" s="90" t="s">
        <v>3177</v>
      </c>
      <c r="AK17" s="90" t="s">
        <v>3178</v>
      </c>
      <c r="AL17" s="90" t="s">
        <v>3179</v>
      </c>
      <c r="AM17" s="90" t="s">
        <v>3180</v>
      </c>
      <c r="AN17" s="90" t="s">
        <v>3181</v>
      </c>
      <c r="AO17" s="90" t="s">
        <v>3182</v>
      </c>
      <c r="AP17" s="90" t="s">
        <v>3183</v>
      </c>
      <c r="AQ17" s="91" t="s">
        <v>3184</v>
      </c>
      <c r="AR17" s="88" t="s">
        <v>3185</v>
      </c>
      <c r="AS17" s="90" t="s">
        <v>3186</v>
      </c>
      <c r="AT17" s="90" t="s">
        <v>3187</v>
      </c>
      <c r="AU17" s="90" t="s">
        <v>3188</v>
      </c>
      <c r="AV17" s="90" t="s">
        <v>3189</v>
      </c>
      <c r="AW17" s="91" t="s">
        <v>3190</v>
      </c>
      <c r="AX17" s="88" t="s">
        <v>3191</v>
      </c>
      <c r="AY17" s="91" t="s">
        <v>3192</v>
      </c>
      <c r="BA17" s="389" t="n">
        <v>4</v>
      </c>
      <c r="BB17" s="390" t="s">
        <v>627</v>
      </c>
    </row>
    <row r="18" customFormat="false" ht="18" hidden="false" customHeight="true" outlineLevel="0" collapsed="false">
      <c r="A18" s="87"/>
      <c r="B18" s="64" t="n">
        <v>13</v>
      </c>
      <c r="C18" s="65" t="s">
        <v>628</v>
      </c>
      <c r="D18" s="66" t="s">
        <v>3193</v>
      </c>
      <c r="E18" s="67" t="s">
        <v>3194</v>
      </c>
      <c r="F18" s="68" t="s">
        <v>3195</v>
      </c>
      <c r="G18" s="67" t="s">
        <v>3196</v>
      </c>
      <c r="H18" s="67" t="s">
        <v>3197</v>
      </c>
      <c r="I18" s="68" t="s">
        <v>3198</v>
      </c>
      <c r="J18" s="68" t="s">
        <v>3199</v>
      </c>
      <c r="K18" s="68" t="s">
        <v>3200</v>
      </c>
      <c r="L18" s="68" t="s">
        <v>3201</v>
      </c>
      <c r="M18" s="68" t="s">
        <v>3202</v>
      </c>
      <c r="N18" s="92" t="s">
        <v>3203</v>
      </c>
      <c r="O18" s="64" t="s">
        <v>3204</v>
      </c>
      <c r="P18" s="61"/>
      <c r="Q18" s="68" t="s">
        <v>3205</v>
      </c>
      <c r="R18" s="68" t="s">
        <v>3206</v>
      </c>
      <c r="S18" s="68" t="s">
        <v>3207</v>
      </c>
      <c r="T18" s="68" t="s">
        <v>3208</v>
      </c>
      <c r="U18" s="68" t="s">
        <v>3209</v>
      </c>
      <c r="V18" s="68" t="s">
        <v>3210</v>
      </c>
      <c r="W18" s="68" t="s">
        <v>3211</v>
      </c>
      <c r="X18" s="68" t="s">
        <v>3212</v>
      </c>
      <c r="Y18" s="68" t="s">
        <v>3213</v>
      </c>
      <c r="Z18" s="69" t="s">
        <v>3214</v>
      </c>
      <c r="AA18" s="66" t="s">
        <v>3215</v>
      </c>
      <c r="AB18" s="68" t="s">
        <v>3216</v>
      </c>
      <c r="AC18" s="68" t="s">
        <v>3217</v>
      </c>
      <c r="AD18" s="68" t="s">
        <v>3218</v>
      </c>
      <c r="AE18" s="68" t="s">
        <v>3219</v>
      </c>
      <c r="AF18" s="68" t="s">
        <v>3220</v>
      </c>
      <c r="AG18" s="68" t="s">
        <v>3221</v>
      </c>
      <c r="AH18" s="69" t="s">
        <v>3222</v>
      </c>
      <c r="AI18" s="66" t="s">
        <v>3223</v>
      </c>
      <c r="AJ18" s="68" t="s">
        <v>3224</v>
      </c>
      <c r="AK18" s="68" t="s">
        <v>3225</v>
      </c>
      <c r="AL18" s="68" t="s">
        <v>3226</v>
      </c>
      <c r="AM18" s="68" t="s">
        <v>3227</v>
      </c>
      <c r="AN18" s="68" t="s">
        <v>3228</v>
      </c>
      <c r="AO18" s="68" t="s">
        <v>3229</v>
      </c>
      <c r="AP18" s="68" t="s">
        <v>3230</v>
      </c>
      <c r="AQ18" s="69" t="s">
        <v>3231</v>
      </c>
      <c r="AR18" s="66" t="s">
        <v>3232</v>
      </c>
      <c r="AS18" s="68" t="s">
        <v>3233</v>
      </c>
      <c r="AT18" s="68" t="s">
        <v>3234</v>
      </c>
      <c r="AU18" s="68" t="s">
        <v>3235</v>
      </c>
      <c r="AV18" s="68" t="s">
        <v>3236</v>
      </c>
      <c r="AW18" s="69" t="s">
        <v>3237</v>
      </c>
      <c r="AX18" s="66" t="s">
        <v>3238</v>
      </c>
      <c r="AY18" s="69" t="s">
        <v>3239</v>
      </c>
      <c r="BA18" s="389" t="n">
        <v>5</v>
      </c>
      <c r="BB18" s="390" t="s">
        <v>676</v>
      </c>
    </row>
    <row r="19" customFormat="false" ht="18" hidden="false" customHeight="true" outlineLevel="0" collapsed="false">
      <c r="A19" s="87"/>
      <c r="B19" s="60" t="n">
        <v>14</v>
      </c>
      <c r="C19" s="59" t="s">
        <v>19</v>
      </c>
      <c r="D19" s="60" t="s">
        <v>3240</v>
      </c>
      <c r="E19" s="62" t="s">
        <v>3241</v>
      </c>
      <c r="F19" s="62" t="s">
        <v>3242</v>
      </c>
      <c r="G19" s="62" t="s">
        <v>3243</v>
      </c>
      <c r="H19" s="62" t="s">
        <v>3244</v>
      </c>
      <c r="I19" s="62" t="s">
        <v>3245</v>
      </c>
      <c r="J19" s="62" t="s">
        <v>3246</v>
      </c>
      <c r="K19" s="62" t="s">
        <v>3247</v>
      </c>
      <c r="L19" s="62" t="s">
        <v>3248</v>
      </c>
      <c r="M19" s="62" t="s">
        <v>3249</v>
      </c>
      <c r="N19" s="63" t="s">
        <v>3250</v>
      </c>
      <c r="O19" s="60" t="s">
        <v>3251</v>
      </c>
      <c r="P19" s="62" t="s">
        <v>3252</v>
      </c>
      <c r="Q19" s="61"/>
      <c r="R19" s="62" t="s">
        <v>3253</v>
      </c>
      <c r="S19" s="62" t="s">
        <v>3254</v>
      </c>
      <c r="T19" s="62" t="s">
        <v>3255</v>
      </c>
      <c r="U19" s="62" t="s">
        <v>3256</v>
      </c>
      <c r="V19" s="62" t="s">
        <v>3257</v>
      </c>
      <c r="W19" s="62" t="s">
        <v>3258</v>
      </c>
      <c r="X19" s="62" t="s">
        <v>3259</v>
      </c>
      <c r="Y19" s="62" t="s">
        <v>3260</v>
      </c>
      <c r="Z19" s="63" t="s">
        <v>3261</v>
      </c>
      <c r="AA19" s="60" t="s">
        <v>3262</v>
      </c>
      <c r="AB19" s="62" t="s">
        <v>3263</v>
      </c>
      <c r="AC19" s="62" t="s">
        <v>3264</v>
      </c>
      <c r="AD19" s="62" t="s">
        <v>3265</v>
      </c>
      <c r="AE19" s="62" t="s">
        <v>3266</v>
      </c>
      <c r="AF19" s="62" t="s">
        <v>3267</v>
      </c>
      <c r="AG19" s="62" t="s">
        <v>3268</v>
      </c>
      <c r="AH19" s="63" t="s">
        <v>3269</v>
      </c>
      <c r="AI19" s="60" t="s">
        <v>3270</v>
      </c>
      <c r="AJ19" s="62" t="s">
        <v>3271</v>
      </c>
      <c r="AK19" s="62" t="s">
        <v>3272</v>
      </c>
      <c r="AL19" s="62" t="s">
        <v>3273</v>
      </c>
      <c r="AM19" s="62" t="s">
        <v>3274</v>
      </c>
      <c r="AN19" s="62" t="s">
        <v>3275</v>
      </c>
      <c r="AO19" s="62" t="s">
        <v>3276</v>
      </c>
      <c r="AP19" s="62" t="s">
        <v>3277</v>
      </c>
      <c r="AQ19" s="63" t="s">
        <v>3278</v>
      </c>
      <c r="AR19" s="60" t="s">
        <v>3279</v>
      </c>
      <c r="AS19" s="62" t="s">
        <v>3280</v>
      </c>
      <c r="AT19" s="62" t="s">
        <v>3281</v>
      </c>
      <c r="AU19" s="62" t="s">
        <v>3282</v>
      </c>
      <c r="AV19" s="62" t="s">
        <v>3283</v>
      </c>
      <c r="AW19" s="63" t="s">
        <v>3284</v>
      </c>
      <c r="AX19" s="60" t="s">
        <v>3285</v>
      </c>
      <c r="AY19" s="63" t="s">
        <v>3286</v>
      </c>
      <c r="BA19" s="389" t="n">
        <v>6</v>
      </c>
      <c r="BB19" s="390" t="s">
        <v>724</v>
      </c>
    </row>
    <row r="20" customFormat="false" ht="18" hidden="false" customHeight="true" outlineLevel="0" collapsed="false">
      <c r="A20" s="87"/>
      <c r="B20" s="64" t="n">
        <v>15</v>
      </c>
      <c r="C20" s="65" t="s">
        <v>20</v>
      </c>
      <c r="D20" s="66" t="s">
        <v>3287</v>
      </c>
      <c r="E20" s="67" t="s">
        <v>3288</v>
      </c>
      <c r="F20" s="68" t="s">
        <v>3289</v>
      </c>
      <c r="G20" s="67" t="s">
        <v>3290</v>
      </c>
      <c r="H20" s="67" t="s">
        <v>3291</v>
      </c>
      <c r="I20" s="68" t="s">
        <v>3292</v>
      </c>
      <c r="J20" s="68" t="s">
        <v>3293</v>
      </c>
      <c r="K20" s="68" t="s">
        <v>3294</v>
      </c>
      <c r="L20" s="68" t="s">
        <v>3295</v>
      </c>
      <c r="M20" s="68" t="s">
        <v>3296</v>
      </c>
      <c r="N20" s="69" t="s">
        <v>3297</v>
      </c>
      <c r="O20" s="66" t="s">
        <v>3298</v>
      </c>
      <c r="P20" s="67" t="s">
        <v>3299</v>
      </c>
      <c r="Q20" s="67" t="s">
        <v>3300</v>
      </c>
      <c r="R20" s="61"/>
      <c r="S20" s="68" t="s">
        <v>3301</v>
      </c>
      <c r="T20" s="68" t="s">
        <v>3302</v>
      </c>
      <c r="U20" s="68" t="s">
        <v>3303</v>
      </c>
      <c r="V20" s="68" t="s">
        <v>3304</v>
      </c>
      <c r="W20" s="68" t="s">
        <v>3305</v>
      </c>
      <c r="X20" s="68" t="s">
        <v>3306</v>
      </c>
      <c r="Y20" s="68" t="s">
        <v>3307</v>
      </c>
      <c r="Z20" s="69" t="s">
        <v>3308</v>
      </c>
      <c r="AA20" s="66" t="s">
        <v>3309</v>
      </c>
      <c r="AB20" s="68" t="s">
        <v>3310</v>
      </c>
      <c r="AC20" s="68" t="s">
        <v>3311</v>
      </c>
      <c r="AD20" s="68" t="s">
        <v>3312</v>
      </c>
      <c r="AE20" s="68" t="s">
        <v>3313</v>
      </c>
      <c r="AF20" s="68" t="s">
        <v>3314</v>
      </c>
      <c r="AG20" s="68" t="s">
        <v>3315</v>
      </c>
      <c r="AH20" s="69" t="s">
        <v>3316</v>
      </c>
      <c r="AI20" s="66" t="s">
        <v>3317</v>
      </c>
      <c r="AJ20" s="68" t="s">
        <v>3318</v>
      </c>
      <c r="AK20" s="68" t="s">
        <v>3319</v>
      </c>
      <c r="AL20" s="68" t="s">
        <v>3320</v>
      </c>
      <c r="AM20" s="68" t="s">
        <v>3321</v>
      </c>
      <c r="AN20" s="68" t="s">
        <v>3322</v>
      </c>
      <c r="AO20" s="68" t="s">
        <v>3323</v>
      </c>
      <c r="AP20" s="68" t="s">
        <v>3324</v>
      </c>
      <c r="AQ20" s="69" t="s">
        <v>3325</v>
      </c>
      <c r="AR20" s="66" t="s">
        <v>3326</v>
      </c>
      <c r="AS20" s="68" t="s">
        <v>3327</v>
      </c>
      <c r="AT20" s="68" t="s">
        <v>3328</v>
      </c>
      <c r="AU20" s="68" t="s">
        <v>3329</v>
      </c>
      <c r="AV20" s="68" t="s">
        <v>3330</v>
      </c>
      <c r="AW20" s="69" t="s">
        <v>3331</v>
      </c>
      <c r="AX20" s="66" t="s">
        <v>3332</v>
      </c>
      <c r="AY20" s="69" t="s">
        <v>3333</v>
      </c>
      <c r="BA20" s="389" t="n">
        <v>7</v>
      </c>
      <c r="BB20" s="390" t="s">
        <v>772</v>
      </c>
    </row>
    <row r="21" customFormat="false" ht="18" hidden="false" customHeight="true" outlineLevel="0" collapsed="false">
      <c r="A21" s="87"/>
      <c r="B21" s="60" t="n">
        <v>16</v>
      </c>
      <c r="C21" s="59" t="s">
        <v>773</v>
      </c>
      <c r="D21" s="60" t="s">
        <v>3334</v>
      </c>
      <c r="E21" s="62" t="s">
        <v>3335</v>
      </c>
      <c r="F21" s="62" t="s">
        <v>3336</v>
      </c>
      <c r="G21" s="62" t="s">
        <v>3337</v>
      </c>
      <c r="H21" s="62" t="s">
        <v>3338</v>
      </c>
      <c r="I21" s="62" t="s">
        <v>3339</v>
      </c>
      <c r="J21" s="62" t="s">
        <v>3340</v>
      </c>
      <c r="K21" s="62" t="s">
        <v>3341</v>
      </c>
      <c r="L21" s="62" t="s">
        <v>3342</v>
      </c>
      <c r="M21" s="62" t="s">
        <v>3343</v>
      </c>
      <c r="N21" s="63" t="s">
        <v>3344</v>
      </c>
      <c r="O21" s="60" t="s">
        <v>3345</v>
      </c>
      <c r="P21" s="62" t="s">
        <v>3346</v>
      </c>
      <c r="Q21" s="62" t="s">
        <v>3347</v>
      </c>
      <c r="R21" s="62" t="s">
        <v>3348</v>
      </c>
      <c r="S21" s="61"/>
      <c r="T21" s="62" t="s">
        <v>3349</v>
      </c>
      <c r="U21" s="62" t="s">
        <v>3350</v>
      </c>
      <c r="V21" s="62" t="s">
        <v>3351</v>
      </c>
      <c r="W21" s="62" t="s">
        <v>3352</v>
      </c>
      <c r="X21" s="62" t="s">
        <v>3353</v>
      </c>
      <c r="Y21" s="62" t="s">
        <v>3354</v>
      </c>
      <c r="Z21" s="63" t="s">
        <v>3355</v>
      </c>
      <c r="AA21" s="60" t="s">
        <v>3356</v>
      </c>
      <c r="AB21" s="62" t="s">
        <v>3357</v>
      </c>
      <c r="AC21" s="62" t="s">
        <v>3358</v>
      </c>
      <c r="AD21" s="62" t="s">
        <v>3359</v>
      </c>
      <c r="AE21" s="62" t="s">
        <v>3360</v>
      </c>
      <c r="AF21" s="62" t="s">
        <v>3361</v>
      </c>
      <c r="AG21" s="62" t="s">
        <v>3362</v>
      </c>
      <c r="AH21" s="63" t="s">
        <v>3363</v>
      </c>
      <c r="AI21" s="60" t="s">
        <v>3364</v>
      </c>
      <c r="AJ21" s="62" t="s">
        <v>3365</v>
      </c>
      <c r="AK21" s="62" t="s">
        <v>3366</v>
      </c>
      <c r="AL21" s="62" t="s">
        <v>3367</v>
      </c>
      <c r="AM21" s="62" t="s">
        <v>3368</v>
      </c>
      <c r="AN21" s="62" t="s">
        <v>3369</v>
      </c>
      <c r="AO21" s="62" t="s">
        <v>3370</v>
      </c>
      <c r="AP21" s="62" t="s">
        <v>3371</v>
      </c>
      <c r="AQ21" s="63" t="s">
        <v>3372</v>
      </c>
      <c r="AR21" s="60" t="s">
        <v>3373</v>
      </c>
      <c r="AS21" s="62" t="s">
        <v>3374</v>
      </c>
      <c r="AT21" s="62" t="s">
        <v>3375</v>
      </c>
      <c r="AU21" s="62" t="s">
        <v>3376</v>
      </c>
      <c r="AV21" s="62" t="s">
        <v>3377</v>
      </c>
      <c r="AW21" s="63" t="s">
        <v>3378</v>
      </c>
      <c r="AX21" s="60" t="s">
        <v>3379</v>
      </c>
      <c r="AY21" s="63" t="s">
        <v>3380</v>
      </c>
      <c r="BA21" s="389" t="n">
        <v>8</v>
      </c>
      <c r="BB21" s="390" t="s">
        <v>821</v>
      </c>
    </row>
    <row r="22" customFormat="false" ht="18" hidden="false" customHeight="true" outlineLevel="0" collapsed="false">
      <c r="A22" s="87"/>
      <c r="B22" s="64" t="n">
        <v>17</v>
      </c>
      <c r="C22" s="65" t="s">
        <v>822</v>
      </c>
      <c r="D22" s="66" t="s">
        <v>3381</v>
      </c>
      <c r="E22" s="67" t="s">
        <v>3382</v>
      </c>
      <c r="F22" s="68" t="s">
        <v>3383</v>
      </c>
      <c r="G22" s="67" t="s">
        <v>3384</v>
      </c>
      <c r="H22" s="67" t="s">
        <v>3385</v>
      </c>
      <c r="I22" s="68" t="s">
        <v>3386</v>
      </c>
      <c r="J22" s="68" t="s">
        <v>3387</v>
      </c>
      <c r="K22" s="68" t="s">
        <v>3388</v>
      </c>
      <c r="L22" s="68" t="s">
        <v>3389</v>
      </c>
      <c r="M22" s="68" t="s">
        <v>3390</v>
      </c>
      <c r="N22" s="69" t="s">
        <v>3391</v>
      </c>
      <c r="O22" s="66" t="s">
        <v>3392</v>
      </c>
      <c r="P22" s="67" t="s">
        <v>3393</v>
      </c>
      <c r="Q22" s="67" t="s">
        <v>3394</v>
      </c>
      <c r="R22" s="67" t="s">
        <v>3395</v>
      </c>
      <c r="S22" s="68" t="s">
        <v>3396</v>
      </c>
      <c r="T22" s="61"/>
      <c r="U22" s="68" t="s">
        <v>3397</v>
      </c>
      <c r="V22" s="68" t="s">
        <v>3398</v>
      </c>
      <c r="W22" s="68" t="s">
        <v>3399</v>
      </c>
      <c r="X22" s="68" t="s">
        <v>3400</v>
      </c>
      <c r="Y22" s="68" t="s">
        <v>3401</v>
      </c>
      <c r="Z22" s="69" t="s">
        <v>3402</v>
      </c>
      <c r="AA22" s="66" t="s">
        <v>3403</v>
      </c>
      <c r="AB22" s="68" t="s">
        <v>3404</v>
      </c>
      <c r="AC22" s="68" t="s">
        <v>3405</v>
      </c>
      <c r="AD22" s="68" t="s">
        <v>3406</v>
      </c>
      <c r="AE22" s="68" t="s">
        <v>3407</v>
      </c>
      <c r="AF22" s="68" t="s">
        <v>3408</v>
      </c>
      <c r="AG22" s="68" t="s">
        <v>3409</v>
      </c>
      <c r="AH22" s="69" t="s">
        <v>3410</v>
      </c>
      <c r="AI22" s="66" t="s">
        <v>3411</v>
      </c>
      <c r="AJ22" s="68" t="s">
        <v>3412</v>
      </c>
      <c r="AK22" s="68" t="s">
        <v>3413</v>
      </c>
      <c r="AL22" s="68" t="s">
        <v>3414</v>
      </c>
      <c r="AM22" s="68" t="s">
        <v>3415</v>
      </c>
      <c r="AN22" s="68" t="s">
        <v>3416</v>
      </c>
      <c r="AO22" s="68" t="s">
        <v>3417</v>
      </c>
      <c r="AP22" s="68" t="s">
        <v>3418</v>
      </c>
      <c r="AQ22" s="69" t="s">
        <v>3419</v>
      </c>
      <c r="AR22" s="66" t="s">
        <v>3420</v>
      </c>
      <c r="AS22" s="68" t="s">
        <v>3421</v>
      </c>
      <c r="AT22" s="68" t="s">
        <v>3422</v>
      </c>
      <c r="AU22" s="68" t="s">
        <v>3423</v>
      </c>
      <c r="AV22" s="68" t="s">
        <v>3424</v>
      </c>
      <c r="AW22" s="69" t="s">
        <v>3425</v>
      </c>
      <c r="AX22" s="66" t="s">
        <v>3426</v>
      </c>
      <c r="AY22" s="69" t="s">
        <v>3427</v>
      </c>
      <c r="BA22" s="389" t="n">
        <v>9</v>
      </c>
      <c r="BB22" s="390" t="s">
        <v>870</v>
      </c>
    </row>
    <row r="23" customFormat="false" ht="18" hidden="false" customHeight="true" outlineLevel="0" collapsed="false">
      <c r="A23" s="87"/>
      <c r="B23" s="60" t="n">
        <v>18</v>
      </c>
      <c r="C23" s="59" t="s">
        <v>23</v>
      </c>
      <c r="D23" s="60" t="s">
        <v>3428</v>
      </c>
      <c r="E23" s="62" t="s">
        <v>3429</v>
      </c>
      <c r="F23" s="62" t="s">
        <v>3430</v>
      </c>
      <c r="G23" s="62" t="s">
        <v>3431</v>
      </c>
      <c r="H23" s="62" t="s">
        <v>3432</v>
      </c>
      <c r="I23" s="62" t="s">
        <v>3433</v>
      </c>
      <c r="J23" s="62" t="s">
        <v>3434</v>
      </c>
      <c r="K23" s="62" t="s">
        <v>3435</v>
      </c>
      <c r="L23" s="62" t="s">
        <v>3436</v>
      </c>
      <c r="M23" s="62" t="s">
        <v>3437</v>
      </c>
      <c r="N23" s="63" t="s">
        <v>3438</v>
      </c>
      <c r="O23" s="60" t="s">
        <v>3439</v>
      </c>
      <c r="P23" s="62" t="s">
        <v>3440</v>
      </c>
      <c r="Q23" s="62" t="s">
        <v>3441</v>
      </c>
      <c r="R23" s="62" t="s">
        <v>3442</v>
      </c>
      <c r="S23" s="62" t="s">
        <v>3443</v>
      </c>
      <c r="T23" s="62" t="s">
        <v>3444</v>
      </c>
      <c r="U23" s="61"/>
      <c r="V23" s="62" t="s">
        <v>3445</v>
      </c>
      <c r="W23" s="62" t="s">
        <v>3446</v>
      </c>
      <c r="X23" s="62" t="s">
        <v>3447</v>
      </c>
      <c r="Y23" s="62" t="s">
        <v>3448</v>
      </c>
      <c r="Z23" s="63" t="s">
        <v>3449</v>
      </c>
      <c r="AA23" s="60" t="s">
        <v>3450</v>
      </c>
      <c r="AB23" s="62" t="s">
        <v>3451</v>
      </c>
      <c r="AC23" s="62" t="s">
        <v>3452</v>
      </c>
      <c r="AD23" s="62" t="s">
        <v>3453</v>
      </c>
      <c r="AE23" s="62" t="s">
        <v>3454</v>
      </c>
      <c r="AF23" s="62" t="s">
        <v>3455</v>
      </c>
      <c r="AG23" s="62" t="s">
        <v>3456</v>
      </c>
      <c r="AH23" s="63" t="s">
        <v>3457</v>
      </c>
      <c r="AI23" s="60" t="s">
        <v>3458</v>
      </c>
      <c r="AJ23" s="62" t="s">
        <v>3459</v>
      </c>
      <c r="AK23" s="62" t="s">
        <v>3460</v>
      </c>
      <c r="AL23" s="62" t="s">
        <v>3461</v>
      </c>
      <c r="AM23" s="62" t="s">
        <v>3462</v>
      </c>
      <c r="AN23" s="62" t="s">
        <v>3463</v>
      </c>
      <c r="AO23" s="62" t="s">
        <v>3464</v>
      </c>
      <c r="AP23" s="62" t="s">
        <v>3465</v>
      </c>
      <c r="AQ23" s="63" t="s">
        <v>3466</v>
      </c>
      <c r="AR23" s="60" t="s">
        <v>3467</v>
      </c>
      <c r="AS23" s="62" t="s">
        <v>3468</v>
      </c>
      <c r="AT23" s="62" t="s">
        <v>3469</v>
      </c>
      <c r="AU23" s="62" t="s">
        <v>3470</v>
      </c>
      <c r="AV23" s="62" t="s">
        <v>3471</v>
      </c>
      <c r="AW23" s="63" t="s">
        <v>3472</v>
      </c>
      <c r="AX23" s="60" t="s">
        <v>3473</v>
      </c>
      <c r="AY23" s="63" t="s">
        <v>3474</v>
      </c>
      <c r="BA23" s="389" t="n">
        <v>10</v>
      </c>
      <c r="BB23" s="390" t="s">
        <v>918</v>
      </c>
    </row>
    <row r="24" customFormat="false" ht="18" hidden="false" customHeight="true" outlineLevel="0" collapsed="false">
      <c r="A24" s="87"/>
      <c r="B24" s="64" t="n">
        <v>19</v>
      </c>
      <c r="C24" s="65" t="s">
        <v>24</v>
      </c>
      <c r="D24" s="66" t="s">
        <v>3475</v>
      </c>
      <c r="E24" s="67" t="s">
        <v>3476</v>
      </c>
      <c r="F24" s="68" t="s">
        <v>3477</v>
      </c>
      <c r="G24" s="67" t="s">
        <v>3478</v>
      </c>
      <c r="H24" s="67" t="s">
        <v>3479</v>
      </c>
      <c r="I24" s="68" t="s">
        <v>3480</v>
      </c>
      <c r="J24" s="68" t="s">
        <v>3481</v>
      </c>
      <c r="K24" s="68" t="s">
        <v>3482</v>
      </c>
      <c r="L24" s="68" t="s">
        <v>3483</v>
      </c>
      <c r="M24" s="68" t="s">
        <v>3484</v>
      </c>
      <c r="N24" s="69" t="s">
        <v>3485</v>
      </c>
      <c r="O24" s="66" t="s">
        <v>3486</v>
      </c>
      <c r="P24" s="68" t="s">
        <v>3487</v>
      </c>
      <c r="Q24" s="68" t="s">
        <v>3488</v>
      </c>
      <c r="R24" s="68" t="s">
        <v>3489</v>
      </c>
      <c r="S24" s="68" t="s">
        <v>3490</v>
      </c>
      <c r="T24" s="67" t="s">
        <v>3491</v>
      </c>
      <c r="U24" s="67" t="s">
        <v>3492</v>
      </c>
      <c r="V24" s="61"/>
      <c r="W24" s="68" t="s">
        <v>3493</v>
      </c>
      <c r="X24" s="68" t="s">
        <v>3494</v>
      </c>
      <c r="Y24" s="68" t="s">
        <v>3495</v>
      </c>
      <c r="Z24" s="69" t="s">
        <v>3496</v>
      </c>
      <c r="AA24" s="66" t="s">
        <v>3497</v>
      </c>
      <c r="AB24" s="68" t="s">
        <v>3498</v>
      </c>
      <c r="AC24" s="68" t="s">
        <v>3499</v>
      </c>
      <c r="AD24" s="68" t="s">
        <v>3500</v>
      </c>
      <c r="AE24" s="68" t="s">
        <v>3501</v>
      </c>
      <c r="AF24" s="68" t="s">
        <v>3502</v>
      </c>
      <c r="AG24" s="68" t="s">
        <v>3503</v>
      </c>
      <c r="AH24" s="69" t="s">
        <v>3504</v>
      </c>
      <c r="AI24" s="66" t="s">
        <v>3505</v>
      </c>
      <c r="AJ24" s="68" t="s">
        <v>3506</v>
      </c>
      <c r="AK24" s="68" t="s">
        <v>3507</v>
      </c>
      <c r="AL24" s="68" t="s">
        <v>3508</v>
      </c>
      <c r="AM24" s="68" t="s">
        <v>3509</v>
      </c>
      <c r="AN24" s="68" t="s">
        <v>3510</v>
      </c>
      <c r="AO24" s="68" t="s">
        <v>3511</v>
      </c>
      <c r="AP24" s="68" t="s">
        <v>3512</v>
      </c>
      <c r="AQ24" s="69" t="s">
        <v>3513</v>
      </c>
      <c r="AR24" s="66" t="s">
        <v>3514</v>
      </c>
      <c r="AS24" s="68" t="s">
        <v>3515</v>
      </c>
      <c r="AT24" s="68" t="s">
        <v>3516</v>
      </c>
      <c r="AU24" s="68" t="s">
        <v>3517</v>
      </c>
      <c r="AV24" s="68" t="s">
        <v>3518</v>
      </c>
      <c r="AW24" s="69" t="s">
        <v>3519</v>
      </c>
      <c r="AX24" s="66" t="s">
        <v>3520</v>
      </c>
      <c r="AY24" s="69" t="s">
        <v>3521</v>
      </c>
      <c r="BA24" s="389" t="n">
        <v>11</v>
      </c>
      <c r="BB24" s="390" t="s">
        <v>966</v>
      </c>
    </row>
    <row r="25" customFormat="false" ht="18" hidden="false" customHeight="true" outlineLevel="0" collapsed="false">
      <c r="A25" s="87"/>
      <c r="B25" s="60" t="n">
        <v>20</v>
      </c>
      <c r="C25" s="59" t="s">
        <v>25</v>
      </c>
      <c r="D25" s="60" t="s">
        <v>3522</v>
      </c>
      <c r="E25" s="62" t="s">
        <v>3523</v>
      </c>
      <c r="F25" s="62" t="s">
        <v>3524</v>
      </c>
      <c r="G25" s="62" t="s">
        <v>3525</v>
      </c>
      <c r="H25" s="62" t="s">
        <v>3526</v>
      </c>
      <c r="I25" s="62" t="s">
        <v>3527</v>
      </c>
      <c r="J25" s="62" t="s">
        <v>3528</v>
      </c>
      <c r="K25" s="62" t="s">
        <v>3529</v>
      </c>
      <c r="L25" s="62" t="s">
        <v>3530</v>
      </c>
      <c r="M25" s="62" t="s">
        <v>3531</v>
      </c>
      <c r="N25" s="63" t="s">
        <v>3532</v>
      </c>
      <c r="O25" s="60" t="s">
        <v>3533</v>
      </c>
      <c r="P25" s="62" t="s">
        <v>3534</v>
      </c>
      <c r="Q25" s="62" t="s">
        <v>3535</v>
      </c>
      <c r="R25" s="62" t="s">
        <v>3536</v>
      </c>
      <c r="S25" s="62" t="s">
        <v>3537</v>
      </c>
      <c r="T25" s="62" t="s">
        <v>3538</v>
      </c>
      <c r="U25" s="62" t="s">
        <v>3539</v>
      </c>
      <c r="V25" s="62" t="s">
        <v>3540</v>
      </c>
      <c r="W25" s="61"/>
      <c r="X25" s="62" t="s">
        <v>3541</v>
      </c>
      <c r="Y25" s="62" t="s">
        <v>3542</v>
      </c>
      <c r="Z25" s="63" t="s">
        <v>3543</v>
      </c>
      <c r="AA25" s="60" t="s">
        <v>3544</v>
      </c>
      <c r="AB25" s="62" t="s">
        <v>3545</v>
      </c>
      <c r="AC25" s="62" t="s">
        <v>3546</v>
      </c>
      <c r="AD25" s="62" t="s">
        <v>3547</v>
      </c>
      <c r="AE25" s="62" t="s">
        <v>3548</v>
      </c>
      <c r="AF25" s="62" t="s">
        <v>3549</v>
      </c>
      <c r="AG25" s="62" t="s">
        <v>3550</v>
      </c>
      <c r="AH25" s="63" t="s">
        <v>3551</v>
      </c>
      <c r="AI25" s="60" t="s">
        <v>3552</v>
      </c>
      <c r="AJ25" s="62" t="s">
        <v>3553</v>
      </c>
      <c r="AK25" s="62" t="s">
        <v>3554</v>
      </c>
      <c r="AL25" s="62" t="s">
        <v>3555</v>
      </c>
      <c r="AM25" s="62" t="s">
        <v>3556</v>
      </c>
      <c r="AN25" s="62" t="s">
        <v>3557</v>
      </c>
      <c r="AO25" s="62" t="s">
        <v>3558</v>
      </c>
      <c r="AP25" s="62" t="s">
        <v>3559</v>
      </c>
      <c r="AQ25" s="63" t="s">
        <v>3560</v>
      </c>
      <c r="AR25" s="60" t="s">
        <v>3561</v>
      </c>
      <c r="AS25" s="62" t="s">
        <v>3562</v>
      </c>
      <c r="AT25" s="62" t="s">
        <v>3563</v>
      </c>
      <c r="AU25" s="62" t="s">
        <v>3564</v>
      </c>
      <c r="AV25" s="62" t="s">
        <v>3565</v>
      </c>
      <c r="AW25" s="63" t="s">
        <v>3566</v>
      </c>
      <c r="AX25" s="60" t="s">
        <v>3567</v>
      </c>
      <c r="AY25" s="63" t="s">
        <v>3568</v>
      </c>
      <c r="BA25" s="389" t="n">
        <v>12</v>
      </c>
      <c r="BB25" s="390" t="s">
        <v>1014</v>
      </c>
    </row>
    <row r="26" customFormat="false" ht="18" hidden="false" customHeight="true" outlineLevel="0" collapsed="false">
      <c r="A26" s="87"/>
      <c r="B26" s="64" t="n">
        <v>21</v>
      </c>
      <c r="C26" s="65" t="s">
        <v>26</v>
      </c>
      <c r="D26" s="66" t="s">
        <v>3569</v>
      </c>
      <c r="E26" s="67" t="s">
        <v>3570</v>
      </c>
      <c r="F26" s="68" t="s">
        <v>3571</v>
      </c>
      <c r="G26" s="67" t="s">
        <v>3572</v>
      </c>
      <c r="H26" s="67" t="s">
        <v>3573</v>
      </c>
      <c r="I26" s="68" t="s">
        <v>3574</v>
      </c>
      <c r="J26" s="68" t="s">
        <v>3575</v>
      </c>
      <c r="K26" s="68" t="s">
        <v>3576</v>
      </c>
      <c r="L26" s="68" t="s">
        <v>3577</v>
      </c>
      <c r="M26" s="68" t="s">
        <v>3578</v>
      </c>
      <c r="N26" s="69" t="s">
        <v>3579</v>
      </c>
      <c r="O26" s="66" t="s">
        <v>3580</v>
      </c>
      <c r="P26" s="68" t="s">
        <v>3581</v>
      </c>
      <c r="Q26" s="68" t="s">
        <v>3582</v>
      </c>
      <c r="R26" s="68" t="s">
        <v>3583</v>
      </c>
      <c r="S26" s="68" t="s">
        <v>3584</v>
      </c>
      <c r="T26" s="68" t="s">
        <v>3585</v>
      </c>
      <c r="U26" s="68" t="s">
        <v>3586</v>
      </c>
      <c r="V26" s="67" t="s">
        <v>3587</v>
      </c>
      <c r="W26" s="67" t="s">
        <v>3588</v>
      </c>
      <c r="X26" s="61"/>
      <c r="Y26" s="68" t="s">
        <v>3589</v>
      </c>
      <c r="Z26" s="69" t="s">
        <v>3590</v>
      </c>
      <c r="AA26" s="66" t="s">
        <v>3591</v>
      </c>
      <c r="AB26" s="68" t="s">
        <v>3592</v>
      </c>
      <c r="AC26" s="68" t="s">
        <v>3593</v>
      </c>
      <c r="AD26" s="68" t="s">
        <v>3594</v>
      </c>
      <c r="AE26" s="68" t="s">
        <v>3595</v>
      </c>
      <c r="AF26" s="68" t="s">
        <v>3596</v>
      </c>
      <c r="AG26" s="68" t="s">
        <v>3597</v>
      </c>
      <c r="AH26" s="69" t="s">
        <v>3598</v>
      </c>
      <c r="AI26" s="66" t="s">
        <v>3599</v>
      </c>
      <c r="AJ26" s="68" t="s">
        <v>3600</v>
      </c>
      <c r="AK26" s="68" t="s">
        <v>3601</v>
      </c>
      <c r="AL26" s="68" t="s">
        <v>3602</v>
      </c>
      <c r="AM26" s="68" t="s">
        <v>3603</v>
      </c>
      <c r="AN26" s="68" t="s">
        <v>3604</v>
      </c>
      <c r="AO26" s="68" t="s">
        <v>3605</v>
      </c>
      <c r="AP26" s="68" t="s">
        <v>3606</v>
      </c>
      <c r="AQ26" s="69" t="s">
        <v>3607</v>
      </c>
      <c r="AR26" s="66" t="s">
        <v>3608</v>
      </c>
      <c r="AS26" s="68" t="s">
        <v>3609</v>
      </c>
      <c r="AT26" s="68" t="s">
        <v>3610</v>
      </c>
      <c r="AU26" s="68" t="s">
        <v>3611</v>
      </c>
      <c r="AV26" s="68" t="s">
        <v>3612</v>
      </c>
      <c r="AW26" s="69" t="s">
        <v>3613</v>
      </c>
      <c r="AX26" s="66" t="s">
        <v>3614</v>
      </c>
      <c r="AY26" s="69" t="s">
        <v>3615</v>
      </c>
      <c r="BA26" s="389" t="n">
        <v>13</v>
      </c>
      <c r="BB26" s="390" t="s">
        <v>1062</v>
      </c>
    </row>
    <row r="27" customFormat="false" ht="18" hidden="false" customHeight="true" outlineLevel="0" collapsed="false">
      <c r="A27" s="87"/>
      <c r="B27" s="60" t="n">
        <v>22</v>
      </c>
      <c r="C27" s="59" t="s">
        <v>27</v>
      </c>
      <c r="D27" s="60" t="s">
        <v>3616</v>
      </c>
      <c r="E27" s="62" t="s">
        <v>3617</v>
      </c>
      <c r="F27" s="62" t="s">
        <v>3618</v>
      </c>
      <c r="G27" s="62" t="s">
        <v>3619</v>
      </c>
      <c r="H27" s="62" t="s">
        <v>3620</v>
      </c>
      <c r="I27" s="62" t="s">
        <v>3621</v>
      </c>
      <c r="J27" s="62" t="s">
        <v>3622</v>
      </c>
      <c r="K27" s="62" t="s">
        <v>3623</v>
      </c>
      <c r="L27" s="62" t="s">
        <v>3624</v>
      </c>
      <c r="M27" s="62" t="s">
        <v>3625</v>
      </c>
      <c r="N27" s="63" t="s">
        <v>3626</v>
      </c>
      <c r="O27" s="60" t="s">
        <v>3627</v>
      </c>
      <c r="P27" s="62" t="s">
        <v>3628</v>
      </c>
      <c r="Q27" s="62" t="s">
        <v>3629</v>
      </c>
      <c r="R27" s="62" t="s">
        <v>3630</v>
      </c>
      <c r="S27" s="62" t="s">
        <v>3631</v>
      </c>
      <c r="T27" s="62" t="s">
        <v>3632</v>
      </c>
      <c r="U27" s="62" t="s">
        <v>3633</v>
      </c>
      <c r="V27" s="62" t="s">
        <v>3634</v>
      </c>
      <c r="W27" s="62" t="s">
        <v>3635</v>
      </c>
      <c r="X27" s="62" t="s">
        <v>3636</v>
      </c>
      <c r="Y27" s="61"/>
      <c r="Z27" s="63" t="s">
        <v>3637</v>
      </c>
      <c r="AA27" s="60" t="s">
        <v>3638</v>
      </c>
      <c r="AB27" s="62" t="s">
        <v>3639</v>
      </c>
      <c r="AC27" s="62" t="s">
        <v>3640</v>
      </c>
      <c r="AD27" s="62" t="s">
        <v>3641</v>
      </c>
      <c r="AE27" s="62" t="s">
        <v>3642</v>
      </c>
      <c r="AF27" s="62" t="s">
        <v>3643</v>
      </c>
      <c r="AG27" s="62" t="s">
        <v>3644</v>
      </c>
      <c r="AH27" s="63" t="s">
        <v>3645</v>
      </c>
      <c r="AI27" s="60" t="s">
        <v>3646</v>
      </c>
      <c r="AJ27" s="62" t="s">
        <v>3647</v>
      </c>
      <c r="AK27" s="62" t="s">
        <v>3648</v>
      </c>
      <c r="AL27" s="62" t="s">
        <v>3649</v>
      </c>
      <c r="AM27" s="62" t="s">
        <v>3650</v>
      </c>
      <c r="AN27" s="62" t="s">
        <v>3651</v>
      </c>
      <c r="AO27" s="62" t="s">
        <v>3652</v>
      </c>
      <c r="AP27" s="62" t="s">
        <v>3653</v>
      </c>
      <c r="AQ27" s="63" t="s">
        <v>3654</v>
      </c>
      <c r="AR27" s="60" t="s">
        <v>3655</v>
      </c>
      <c r="AS27" s="62" t="s">
        <v>3656</v>
      </c>
      <c r="AT27" s="62" t="s">
        <v>3657</v>
      </c>
      <c r="AU27" s="62" t="s">
        <v>3658</v>
      </c>
      <c r="AV27" s="62" t="s">
        <v>3659</v>
      </c>
      <c r="AW27" s="63" t="s">
        <v>3660</v>
      </c>
      <c r="AX27" s="60" t="s">
        <v>3661</v>
      </c>
      <c r="AY27" s="63" t="s">
        <v>3662</v>
      </c>
      <c r="BA27" s="389" t="n">
        <v>14</v>
      </c>
      <c r="BB27" s="390" t="s">
        <v>1110</v>
      </c>
    </row>
    <row r="28" customFormat="false" ht="18" hidden="false" customHeight="true" outlineLevel="0" collapsed="false">
      <c r="A28" s="87"/>
      <c r="B28" s="78" t="n">
        <v>23</v>
      </c>
      <c r="C28" s="79" t="s">
        <v>1111</v>
      </c>
      <c r="D28" s="84" t="s">
        <v>3663</v>
      </c>
      <c r="E28" s="97" t="s">
        <v>3664</v>
      </c>
      <c r="F28" s="85" t="s">
        <v>3665</v>
      </c>
      <c r="G28" s="97" t="s">
        <v>3666</v>
      </c>
      <c r="H28" s="97" t="s">
        <v>3667</v>
      </c>
      <c r="I28" s="85" t="s">
        <v>3668</v>
      </c>
      <c r="J28" s="85" t="s">
        <v>3669</v>
      </c>
      <c r="K28" s="85" t="s">
        <v>3670</v>
      </c>
      <c r="L28" s="85" t="s">
        <v>3671</v>
      </c>
      <c r="M28" s="85" t="s">
        <v>3672</v>
      </c>
      <c r="N28" s="86" t="s">
        <v>3673</v>
      </c>
      <c r="O28" s="84" t="s">
        <v>3674</v>
      </c>
      <c r="P28" s="85" t="s">
        <v>3675</v>
      </c>
      <c r="Q28" s="85" t="s">
        <v>3676</v>
      </c>
      <c r="R28" s="85" t="s">
        <v>3677</v>
      </c>
      <c r="S28" s="85" t="s">
        <v>3678</v>
      </c>
      <c r="T28" s="85" t="s">
        <v>3679</v>
      </c>
      <c r="U28" s="85" t="s">
        <v>3680</v>
      </c>
      <c r="V28" s="85" t="s">
        <v>3681</v>
      </c>
      <c r="W28" s="85" t="s">
        <v>3682</v>
      </c>
      <c r="X28" s="97" t="s">
        <v>3683</v>
      </c>
      <c r="Y28" s="85" t="s">
        <v>3684</v>
      </c>
      <c r="Z28" s="98"/>
      <c r="AA28" s="84" t="s">
        <v>3685</v>
      </c>
      <c r="AB28" s="85" t="s">
        <v>3686</v>
      </c>
      <c r="AC28" s="85" t="s">
        <v>3687</v>
      </c>
      <c r="AD28" s="85" t="s">
        <v>3688</v>
      </c>
      <c r="AE28" s="85" t="s">
        <v>3689</v>
      </c>
      <c r="AF28" s="85" t="s">
        <v>3690</v>
      </c>
      <c r="AG28" s="85" t="s">
        <v>3691</v>
      </c>
      <c r="AH28" s="86" t="s">
        <v>3692</v>
      </c>
      <c r="AI28" s="84" t="s">
        <v>3693</v>
      </c>
      <c r="AJ28" s="85" t="s">
        <v>3694</v>
      </c>
      <c r="AK28" s="85" t="s">
        <v>3695</v>
      </c>
      <c r="AL28" s="85" t="s">
        <v>3696</v>
      </c>
      <c r="AM28" s="85" t="s">
        <v>3697</v>
      </c>
      <c r="AN28" s="85" t="s">
        <v>3698</v>
      </c>
      <c r="AO28" s="85" t="s">
        <v>3699</v>
      </c>
      <c r="AP28" s="85" t="s">
        <v>3700</v>
      </c>
      <c r="AQ28" s="86" t="s">
        <v>3701</v>
      </c>
      <c r="AR28" s="84" t="s">
        <v>3702</v>
      </c>
      <c r="AS28" s="85" t="s">
        <v>3703</v>
      </c>
      <c r="AT28" s="85" t="s">
        <v>3704</v>
      </c>
      <c r="AU28" s="85" t="s">
        <v>3705</v>
      </c>
      <c r="AV28" s="85" t="s">
        <v>3706</v>
      </c>
      <c r="AW28" s="86" t="s">
        <v>3707</v>
      </c>
      <c r="AX28" s="84" t="s">
        <v>3708</v>
      </c>
      <c r="AY28" s="86" t="s">
        <v>3709</v>
      </c>
      <c r="BA28" s="389" t="n">
        <v>15</v>
      </c>
      <c r="BB28" s="390" t="s">
        <v>1159</v>
      </c>
    </row>
    <row r="29" customFormat="false" ht="18" hidden="false" customHeight="true" outlineLevel="0" collapsed="false">
      <c r="A29" s="100" t="s">
        <v>2</v>
      </c>
      <c r="B29" s="88" t="n">
        <v>24</v>
      </c>
      <c r="C29" s="91" t="s">
        <v>29</v>
      </c>
      <c r="D29" s="88" t="s">
        <v>3710</v>
      </c>
      <c r="E29" s="90" t="s">
        <v>3711</v>
      </c>
      <c r="F29" s="90" t="s">
        <v>3712</v>
      </c>
      <c r="G29" s="90" t="s">
        <v>3713</v>
      </c>
      <c r="H29" s="90" t="s">
        <v>3714</v>
      </c>
      <c r="I29" s="90" t="s">
        <v>3715</v>
      </c>
      <c r="J29" s="90" t="s">
        <v>3716</v>
      </c>
      <c r="K29" s="90" t="s">
        <v>3717</v>
      </c>
      <c r="L29" s="90" t="s">
        <v>3718</v>
      </c>
      <c r="M29" s="90" t="s">
        <v>3719</v>
      </c>
      <c r="N29" s="91" t="s">
        <v>3720</v>
      </c>
      <c r="O29" s="88" t="s">
        <v>3721</v>
      </c>
      <c r="P29" s="90" t="s">
        <v>3722</v>
      </c>
      <c r="Q29" s="90" t="s">
        <v>3723</v>
      </c>
      <c r="R29" s="90" t="s">
        <v>3724</v>
      </c>
      <c r="S29" s="90" t="s">
        <v>3725</v>
      </c>
      <c r="T29" s="90" t="s">
        <v>3726</v>
      </c>
      <c r="U29" s="90" t="s">
        <v>3727</v>
      </c>
      <c r="V29" s="90" t="s">
        <v>3728</v>
      </c>
      <c r="W29" s="90" t="s">
        <v>3729</v>
      </c>
      <c r="X29" s="90" t="s">
        <v>3730</v>
      </c>
      <c r="Y29" s="90" t="s">
        <v>3731</v>
      </c>
      <c r="Z29" s="91" t="s">
        <v>3732</v>
      </c>
      <c r="AA29" s="53"/>
      <c r="AB29" s="90" t="s">
        <v>3733</v>
      </c>
      <c r="AC29" s="90" t="s">
        <v>3734</v>
      </c>
      <c r="AD29" s="90" t="s">
        <v>3735</v>
      </c>
      <c r="AE29" s="90" t="s">
        <v>3736</v>
      </c>
      <c r="AF29" s="90" t="s">
        <v>3737</v>
      </c>
      <c r="AG29" s="90" t="s">
        <v>3738</v>
      </c>
      <c r="AH29" s="91" t="s">
        <v>3739</v>
      </c>
      <c r="AI29" s="88" t="s">
        <v>3740</v>
      </c>
      <c r="AJ29" s="90" t="s">
        <v>3741</v>
      </c>
      <c r="AK29" s="90" t="s">
        <v>3742</v>
      </c>
      <c r="AL29" s="90" t="s">
        <v>3743</v>
      </c>
      <c r="AM29" s="90" t="s">
        <v>3744</v>
      </c>
      <c r="AN29" s="90" t="s">
        <v>3745</v>
      </c>
      <c r="AO29" s="90" t="s">
        <v>3746</v>
      </c>
      <c r="AP29" s="90" t="s">
        <v>3747</v>
      </c>
      <c r="AQ29" s="91" t="s">
        <v>3748</v>
      </c>
      <c r="AR29" s="88" t="s">
        <v>3749</v>
      </c>
      <c r="AS29" s="90" t="s">
        <v>3750</v>
      </c>
      <c r="AT29" s="90" t="s">
        <v>3751</v>
      </c>
      <c r="AU29" s="90" t="s">
        <v>3752</v>
      </c>
      <c r="AV29" s="90" t="s">
        <v>3753</v>
      </c>
      <c r="AW29" s="91" t="s">
        <v>3754</v>
      </c>
      <c r="AX29" s="88" t="s">
        <v>3755</v>
      </c>
      <c r="AY29" s="91" t="s">
        <v>3756</v>
      </c>
      <c r="BA29" s="389" t="n">
        <v>16</v>
      </c>
      <c r="BB29" s="390" t="s">
        <v>1207</v>
      </c>
    </row>
    <row r="30" customFormat="false" ht="18" hidden="false" customHeight="true" outlineLevel="0" collapsed="false">
      <c r="A30" s="100"/>
      <c r="B30" s="64" t="n">
        <v>25</v>
      </c>
      <c r="C30" s="101" t="s">
        <v>30</v>
      </c>
      <c r="D30" s="66" t="s">
        <v>3757</v>
      </c>
      <c r="E30" s="68" t="s">
        <v>3758</v>
      </c>
      <c r="F30" s="68" t="s">
        <v>3759</v>
      </c>
      <c r="G30" s="68" t="s">
        <v>3760</v>
      </c>
      <c r="H30" s="68" t="s">
        <v>3761</v>
      </c>
      <c r="I30" s="68" t="s">
        <v>3762</v>
      </c>
      <c r="J30" s="68" t="s">
        <v>3763</v>
      </c>
      <c r="K30" s="68" t="s">
        <v>3764</v>
      </c>
      <c r="L30" s="68" t="s">
        <v>3765</v>
      </c>
      <c r="M30" s="68" t="s">
        <v>3766</v>
      </c>
      <c r="N30" s="69" t="s">
        <v>3767</v>
      </c>
      <c r="O30" s="66" t="s">
        <v>3768</v>
      </c>
      <c r="P30" s="68" t="s">
        <v>3769</v>
      </c>
      <c r="Q30" s="68" t="s">
        <v>3770</v>
      </c>
      <c r="R30" s="68" t="s">
        <v>3771</v>
      </c>
      <c r="S30" s="68" t="s">
        <v>3772</v>
      </c>
      <c r="T30" s="68" t="s">
        <v>3773</v>
      </c>
      <c r="U30" s="68" t="s">
        <v>3774</v>
      </c>
      <c r="V30" s="68" t="s">
        <v>3775</v>
      </c>
      <c r="W30" s="68" t="s">
        <v>3776</v>
      </c>
      <c r="X30" s="68" t="s">
        <v>3777</v>
      </c>
      <c r="Y30" s="67" t="s">
        <v>3778</v>
      </c>
      <c r="Z30" s="92" t="s">
        <v>3779</v>
      </c>
      <c r="AA30" s="64" t="s">
        <v>3780</v>
      </c>
      <c r="AB30" s="61"/>
      <c r="AC30" s="67" t="s">
        <v>3781</v>
      </c>
      <c r="AD30" s="67" t="s">
        <v>3782</v>
      </c>
      <c r="AE30" s="67" t="s">
        <v>3783</v>
      </c>
      <c r="AF30" s="67" t="s">
        <v>3784</v>
      </c>
      <c r="AG30" s="67" t="s">
        <v>3785</v>
      </c>
      <c r="AH30" s="92" t="s">
        <v>3786</v>
      </c>
      <c r="AI30" s="64" t="s">
        <v>3787</v>
      </c>
      <c r="AJ30" s="67" t="s">
        <v>3788</v>
      </c>
      <c r="AK30" s="67" t="s">
        <v>3789</v>
      </c>
      <c r="AL30" s="67" t="s">
        <v>3790</v>
      </c>
      <c r="AM30" s="67" t="s">
        <v>3791</v>
      </c>
      <c r="AN30" s="67" t="s">
        <v>3792</v>
      </c>
      <c r="AO30" s="67" t="s">
        <v>3793</v>
      </c>
      <c r="AP30" s="67" t="s">
        <v>3794</v>
      </c>
      <c r="AQ30" s="92" t="s">
        <v>3795</v>
      </c>
      <c r="AR30" s="64" t="s">
        <v>3796</v>
      </c>
      <c r="AS30" s="67" t="s">
        <v>3797</v>
      </c>
      <c r="AT30" s="67" t="s">
        <v>3798</v>
      </c>
      <c r="AU30" s="67" t="s">
        <v>3799</v>
      </c>
      <c r="AV30" s="67" t="s">
        <v>3800</v>
      </c>
      <c r="AW30" s="92" t="s">
        <v>3801</v>
      </c>
      <c r="AX30" s="64" t="s">
        <v>3802</v>
      </c>
      <c r="AY30" s="92" t="s">
        <v>3803</v>
      </c>
      <c r="BA30" s="389" t="n">
        <v>17</v>
      </c>
      <c r="BB30" s="390" t="s">
        <v>1255</v>
      </c>
    </row>
    <row r="31" customFormat="false" ht="18" hidden="false" customHeight="true" outlineLevel="0" collapsed="false">
      <c r="A31" s="100"/>
      <c r="B31" s="60" t="n">
        <v>26</v>
      </c>
      <c r="C31" s="63" t="s">
        <v>31</v>
      </c>
      <c r="D31" s="60" t="s">
        <v>3804</v>
      </c>
      <c r="E31" s="62" t="s">
        <v>3805</v>
      </c>
      <c r="F31" s="62" t="s">
        <v>3806</v>
      </c>
      <c r="G31" s="62" t="s">
        <v>3807</v>
      </c>
      <c r="H31" s="62" t="s">
        <v>3808</v>
      </c>
      <c r="I31" s="62" t="s">
        <v>3809</v>
      </c>
      <c r="J31" s="62" t="s">
        <v>3810</v>
      </c>
      <c r="K31" s="62" t="s">
        <v>3811</v>
      </c>
      <c r="L31" s="62" t="s">
        <v>3812</v>
      </c>
      <c r="M31" s="62" t="s">
        <v>3813</v>
      </c>
      <c r="N31" s="63" t="s">
        <v>3814</v>
      </c>
      <c r="O31" s="60" t="s">
        <v>3815</v>
      </c>
      <c r="P31" s="62" t="s">
        <v>3816</v>
      </c>
      <c r="Q31" s="62" t="s">
        <v>3817</v>
      </c>
      <c r="R31" s="62" t="s">
        <v>3818</v>
      </c>
      <c r="S31" s="62" t="s">
        <v>3819</v>
      </c>
      <c r="T31" s="62" t="s">
        <v>3820</v>
      </c>
      <c r="U31" s="62" t="s">
        <v>3821</v>
      </c>
      <c r="V31" s="62" t="s">
        <v>3822</v>
      </c>
      <c r="W31" s="62" t="s">
        <v>3823</v>
      </c>
      <c r="X31" s="62" t="s">
        <v>3824</v>
      </c>
      <c r="Y31" s="62" t="s">
        <v>3825</v>
      </c>
      <c r="Z31" s="63" t="s">
        <v>3826</v>
      </c>
      <c r="AA31" s="60" t="s">
        <v>3827</v>
      </c>
      <c r="AB31" s="62" t="s">
        <v>3828</v>
      </c>
      <c r="AC31" s="61"/>
      <c r="AD31" s="62" t="s">
        <v>3829</v>
      </c>
      <c r="AE31" s="62" t="s">
        <v>3830</v>
      </c>
      <c r="AF31" s="62" t="s">
        <v>3831</v>
      </c>
      <c r="AG31" s="62" t="s">
        <v>3832</v>
      </c>
      <c r="AH31" s="63" t="s">
        <v>3833</v>
      </c>
      <c r="AI31" s="60" t="s">
        <v>3834</v>
      </c>
      <c r="AJ31" s="62" t="s">
        <v>3835</v>
      </c>
      <c r="AK31" s="62" t="s">
        <v>3836</v>
      </c>
      <c r="AL31" s="62" t="s">
        <v>3837</v>
      </c>
      <c r="AM31" s="62" t="s">
        <v>3838</v>
      </c>
      <c r="AN31" s="62" t="s">
        <v>3839</v>
      </c>
      <c r="AO31" s="62" t="s">
        <v>3840</v>
      </c>
      <c r="AP31" s="62" t="s">
        <v>3841</v>
      </c>
      <c r="AQ31" s="63" t="s">
        <v>3842</v>
      </c>
      <c r="AR31" s="60" t="s">
        <v>3843</v>
      </c>
      <c r="AS31" s="62" t="s">
        <v>3844</v>
      </c>
      <c r="AT31" s="62" t="s">
        <v>3845</v>
      </c>
      <c r="AU31" s="62" t="s">
        <v>3846</v>
      </c>
      <c r="AV31" s="62" t="s">
        <v>3847</v>
      </c>
      <c r="AW31" s="63" t="s">
        <v>3848</v>
      </c>
      <c r="AX31" s="60" t="s">
        <v>3849</v>
      </c>
      <c r="AY31" s="63" t="s">
        <v>3850</v>
      </c>
      <c r="BA31" s="389" t="n">
        <v>18</v>
      </c>
      <c r="BB31" s="390" t="s">
        <v>1303</v>
      </c>
    </row>
    <row r="32" customFormat="false" ht="18" hidden="false" customHeight="true" outlineLevel="0" collapsed="false">
      <c r="A32" s="100"/>
      <c r="B32" s="64" t="n">
        <v>27</v>
      </c>
      <c r="C32" s="101" t="s">
        <v>32</v>
      </c>
      <c r="D32" s="66" t="s">
        <v>3851</v>
      </c>
      <c r="E32" s="68" t="s">
        <v>3852</v>
      </c>
      <c r="F32" s="68" t="s">
        <v>3853</v>
      </c>
      <c r="G32" s="68" t="s">
        <v>3854</v>
      </c>
      <c r="H32" s="68" t="s">
        <v>3855</v>
      </c>
      <c r="I32" s="68" t="s">
        <v>3856</v>
      </c>
      <c r="J32" s="68" t="s">
        <v>3857</v>
      </c>
      <c r="K32" s="68" t="s">
        <v>3858</v>
      </c>
      <c r="L32" s="68" t="s">
        <v>3859</v>
      </c>
      <c r="M32" s="68" t="s">
        <v>3860</v>
      </c>
      <c r="N32" s="69" t="s">
        <v>3861</v>
      </c>
      <c r="O32" s="66" t="s">
        <v>3862</v>
      </c>
      <c r="P32" s="68" t="s">
        <v>3863</v>
      </c>
      <c r="Q32" s="68" t="s">
        <v>3864</v>
      </c>
      <c r="R32" s="68" t="s">
        <v>3865</v>
      </c>
      <c r="S32" s="68" t="s">
        <v>3866</v>
      </c>
      <c r="T32" s="68" t="s">
        <v>3867</v>
      </c>
      <c r="U32" s="68" t="s">
        <v>3868</v>
      </c>
      <c r="V32" s="68" t="s">
        <v>3869</v>
      </c>
      <c r="W32" s="68" t="s">
        <v>3870</v>
      </c>
      <c r="X32" s="68" t="s">
        <v>3871</v>
      </c>
      <c r="Y32" s="67" t="s">
        <v>3872</v>
      </c>
      <c r="Z32" s="92" t="s">
        <v>3873</v>
      </c>
      <c r="AA32" s="64" t="s">
        <v>3874</v>
      </c>
      <c r="AB32" s="67" t="s">
        <v>3875</v>
      </c>
      <c r="AC32" s="67" t="s">
        <v>3876</v>
      </c>
      <c r="AD32" s="61"/>
      <c r="AE32" s="67" t="s">
        <v>3877</v>
      </c>
      <c r="AF32" s="67" t="s">
        <v>3878</v>
      </c>
      <c r="AG32" s="67" t="s">
        <v>3879</v>
      </c>
      <c r="AH32" s="92" t="s">
        <v>3880</v>
      </c>
      <c r="AI32" s="64" t="s">
        <v>3881</v>
      </c>
      <c r="AJ32" s="67" t="s">
        <v>3882</v>
      </c>
      <c r="AK32" s="67" t="s">
        <v>3883</v>
      </c>
      <c r="AL32" s="67" t="s">
        <v>3884</v>
      </c>
      <c r="AM32" s="67" t="s">
        <v>3885</v>
      </c>
      <c r="AN32" s="67" t="s">
        <v>3886</v>
      </c>
      <c r="AO32" s="67" t="s">
        <v>3887</v>
      </c>
      <c r="AP32" s="67" t="s">
        <v>3888</v>
      </c>
      <c r="AQ32" s="92" t="s">
        <v>3889</v>
      </c>
      <c r="AR32" s="64" t="s">
        <v>3890</v>
      </c>
      <c r="AS32" s="67" t="s">
        <v>3891</v>
      </c>
      <c r="AT32" s="67" t="s">
        <v>3892</v>
      </c>
      <c r="AU32" s="67" t="s">
        <v>3893</v>
      </c>
      <c r="AV32" s="67" t="s">
        <v>3894</v>
      </c>
      <c r="AW32" s="92" t="s">
        <v>3895</v>
      </c>
      <c r="AX32" s="64" t="s">
        <v>3896</v>
      </c>
      <c r="AY32" s="92" t="s">
        <v>3897</v>
      </c>
      <c r="BA32" s="389" t="n">
        <v>19</v>
      </c>
      <c r="BB32" s="390" t="s">
        <v>1351</v>
      </c>
    </row>
    <row r="33" customFormat="false" ht="18" hidden="false" customHeight="true" outlineLevel="0" collapsed="false">
      <c r="A33" s="100"/>
      <c r="B33" s="60" t="n">
        <v>28</v>
      </c>
      <c r="C33" s="63" t="s">
        <v>1352</v>
      </c>
      <c r="D33" s="60" t="s">
        <v>3898</v>
      </c>
      <c r="E33" s="62" t="s">
        <v>3899</v>
      </c>
      <c r="F33" s="62" t="s">
        <v>3900</v>
      </c>
      <c r="G33" s="62" t="s">
        <v>3901</v>
      </c>
      <c r="H33" s="62" t="s">
        <v>3902</v>
      </c>
      <c r="I33" s="62" t="s">
        <v>3903</v>
      </c>
      <c r="J33" s="62" t="s">
        <v>3904</v>
      </c>
      <c r="K33" s="62" t="s">
        <v>3905</v>
      </c>
      <c r="L33" s="62" t="s">
        <v>3906</v>
      </c>
      <c r="M33" s="62" t="s">
        <v>3907</v>
      </c>
      <c r="N33" s="63" t="s">
        <v>3908</v>
      </c>
      <c r="O33" s="60" t="s">
        <v>3909</v>
      </c>
      <c r="P33" s="62" t="s">
        <v>3910</v>
      </c>
      <c r="Q33" s="62" t="s">
        <v>3911</v>
      </c>
      <c r="R33" s="62" t="s">
        <v>3912</v>
      </c>
      <c r="S33" s="62" t="s">
        <v>3913</v>
      </c>
      <c r="T33" s="62" t="s">
        <v>3914</v>
      </c>
      <c r="U33" s="62" t="s">
        <v>3915</v>
      </c>
      <c r="V33" s="62" t="s">
        <v>3916</v>
      </c>
      <c r="W33" s="62" t="s">
        <v>3917</v>
      </c>
      <c r="X33" s="62" t="s">
        <v>3918</v>
      </c>
      <c r="Y33" s="62" t="s">
        <v>3919</v>
      </c>
      <c r="Z33" s="63" t="s">
        <v>3920</v>
      </c>
      <c r="AA33" s="60" t="s">
        <v>3921</v>
      </c>
      <c r="AB33" s="62" t="s">
        <v>3922</v>
      </c>
      <c r="AC33" s="62" t="s">
        <v>3923</v>
      </c>
      <c r="AD33" s="62" t="s">
        <v>3924</v>
      </c>
      <c r="AE33" s="61"/>
      <c r="AF33" s="62" t="s">
        <v>3925</v>
      </c>
      <c r="AG33" s="62" t="s">
        <v>3926</v>
      </c>
      <c r="AH33" s="63" t="s">
        <v>3927</v>
      </c>
      <c r="AI33" s="60" t="s">
        <v>3928</v>
      </c>
      <c r="AJ33" s="62" t="s">
        <v>3929</v>
      </c>
      <c r="AK33" s="62" t="s">
        <v>3930</v>
      </c>
      <c r="AL33" s="62" t="s">
        <v>3931</v>
      </c>
      <c r="AM33" s="62" t="s">
        <v>3932</v>
      </c>
      <c r="AN33" s="62" t="s">
        <v>3933</v>
      </c>
      <c r="AO33" s="62" t="s">
        <v>3934</v>
      </c>
      <c r="AP33" s="62" t="s">
        <v>3935</v>
      </c>
      <c r="AQ33" s="63" t="s">
        <v>3936</v>
      </c>
      <c r="AR33" s="60" t="s">
        <v>3937</v>
      </c>
      <c r="AS33" s="62" t="s">
        <v>3938</v>
      </c>
      <c r="AT33" s="62" t="s">
        <v>3939</v>
      </c>
      <c r="AU33" s="62" t="s">
        <v>3940</v>
      </c>
      <c r="AV33" s="62" t="s">
        <v>3941</v>
      </c>
      <c r="AW33" s="63" t="s">
        <v>3942</v>
      </c>
      <c r="AX33" s="60" t="s">
        <v>3943</v>
      </c>
      <c r="AY33" s="63" t="s">
        <v>3944</v>
      </c>
      <c r="BA33" s="389" t="n">
        <v>20</v>
      </c>
      <c r="BB33" s="390" t="s">
        <v>1400</v>
      </c>
    </row>
    <row r="34" customFormat="false" ht="18" hidden="false" customHeight="true" outlineLevel="0" collapsed="false">
      <c r="A34" s="100"/>
      <c r="B34" s="64" t="n">
        <v>29</v>
      </c>
      <c r="C34" s="101" t="s">
        <v>1401</v>
      </c>
      <c r="D34" s="66" t="s">
        <v>3945</v>
      </c>
      <c r="E34" s="68" t="s">
        <v>3946</v>
      </c>
      <c r="F34" s="68" t="s">
        <v>3947</v>
      </c>
      <c r="G34" s="68" t="s">
        <v>3948</v>
      </c>
      <c r="H34" s="68" t="s">
        <v>3949</v>
      </c>
      <c r="I34" s="68" t="s">
        <v>3950</v>
      </c>
      <c r="J34" s="68" t="s">
        <v>3951</v>
      </c>
      <c r="K34" s="68" t="s">
        <v>3952</v>
      </c>
      <c r="L34" s="68" t="s">
        <v>3953</v>
      </c>
      <c r="M34" s="68" t="s">
        <v>3954</v>
      </c>
      <c r="N34" s="69" t="s">
        <v>3955</v>
      </c>
      <c r="O34" s="66" t="s">
        <v>3956</v>
      </c>
      <c r="P34" s="68" t="s">
        <v>3957</v>
      </c>
      <c r="Q34" s="68" t="s">
        <v>3958</v>
      </c>
      <c r="R34" s="68" t="s">
        <v>3959</v>
      </c>
      <c r="S34" s="68" t="s">
        <v>3960</v>
      </c>
      <c r="T34" s="68" t="s">
        <v>3961</v>
      </c>
      <c r="U34" s="68" t="s">
        <v>3962</v>
      </c>
      <c r="V34" s="68" t="s">
        <v>3963</v>
      </c>
      <c r="W34" s="68" t="s">
        <v>3964</v>
      </c>
      <c r="X34" s="68" t="s">
        <v>3965</v>
      </c>
      <c r="Y34" s="67" t="s">
        <v>3966</v>
      </c>
      <c r="Z34" s="92" t="s">
        <v>3967</v>
      </c>
      <c r="AA34" s="64" t="s">
        <v>3968</v>
      </c>
      <c r="AB34" s="67" t="s">
        <v>3969</v>
      </c>
      <c r="AC34" s="67" t="s">
        <v>3970</v>
      </c>
      <c r="AD34" s="67" t="s">
        <v>3971</v>
      </c>
      <c r="AE34" s="67" t="s">
        <v>3972</v>
      </c>
      <c r="AF34" s="61"/>
      <c r="AG34" s="67" t="s">
        <v>3973</v>
      </c>
      <c r="AH34" s="92" t="s">
        <v>3974</v>
      </c>
      <c r="AI34" s="64" t="s">
        <v>3975</v>
      </c>
      <c r="AJ34" s="67" t="s">
        <v>3976</v>
      </c>
      <c r="AK34" s="67" t="s">
        <v>3977</v>
      </c>
      <c r="AL34" s="67" t="s">
        <v>3978</v>
      </c>
      <c r="AM34" s="67" t="s">
        <v>3979</v>
      </c>
      <c r="AN34" s="67" t="s">
        <v>3980</v>
      </c>
      <c r="AO34" s="67" t="s">
        <v>3981</v>
      </c>
      <c r="AP34" s="67" t="s">
        <v>3982</v>
      </c>
      <c r="AQ34" s="92" t="s">
        <v>3983</v>
      </c>
      <c r="AR34" s="64" t="s">
        <v>3984</v>
      </c>
      <c r="AS34" s="67" t="s">
        <v>3985</v>
      </c>
      <c r="AT34" s="67" t="s">
        <v>3986</v>
      </c>
      <c r="AU34" s="67" t="s">
        <v>3987</v>
      </c>
      <c r="AV34" s="67" t="s">
        <v>3988</v>
      </c>
      <c r="AW34" s="92" t="s">
        <v>3989</v>
      </c>
      <c r="AX34" s="64" t="s">
        <v>3990</v>
      </c>
      <c r="AY34" s="92" t="s">
        <v>3991</v>
      </c>
      <c r="BA34" s="389" t="n">
        <v>21</v>
      </c>
      <c r="BB34" s="390" t="s">
        <v>1449</v>
      </c>
    </row>
    <row r="35" customFormat="false" ht="18" hidden="false" customHeight="true" outlineLevel="0" collapsed="false">
      <c r="A35" s="100"/>
      <c r="B35" s="60" t="n">
        <v>30</v>
      </c>
      <c r="C35" s="63" t="s">
        <v>35</v>
      </c>
      <c r="D35" s="60" t="s">
        <v>3992</v>
      </c>
      <c r="E35" s="62" t="s">
        <v>3993</v>
      </c>
      <c r="F35" s="62" t="s">
        <v>3994</v>
      </c>
      <c r="G35" s="62" t="s">
        <v>3995</v>
      </c>
      <c r="H35" s="62" t="s">
        <v>3996</v>
      </c>
      <c r="I35" s="62" t="s">
        <v>3997</v>
      </c>
      <c r="J35" s="62" t="s">
        <v>3998</v>
      </c>
      <c r="K35" s="62" t="s">
        <v>3999</v>
      </c>
      <c r="L35" s="62" t="s">
        <v>4000</v>
      </c>
      <c r="M35" s="62" t="s">
        <v>4001</v>
      </c>
      <c r="N35" s="63" t="s">
        <v>4002</v>
      </c>
      <c r="O35" s="60" t="s">
        <v>4003</v>
      </c>
      <c r="P35" s="62" t="s">
        <v>4004</v>
      </c>
      <c r="Q35" s="62" t="s">
        <v>4005</v>
      </c>
      <c r="R35" s="62" t="s">
        <v>4006</v>
      </c>
      <c r="S35" s="62" t="s">
        <v>4007</v>
      </c>
      <c r="T35" s="62" t="s">
        <v>4008</v>
      </c>
      <c r="U35" s="62" t="s">
        <v>4009</v>
      </c>
      <c r="V35" s="62" t="s">
        <v>4010</v>
      </c>
      <c r="W35" s="62" t="s">
        <v>4011</v>
      </c>
      <c r="X35" s="62" t="s">
        <v>4012</v>
      </c>
      <c r="Y35" s="62" t="s">
        <v>4013</v>
      </c>
      <c r="Z35" s="63" t="s">
        <v>4014</v>
      </c>
      <c r="AA35" s="60" t="s">
        <v>4015</v>
      </c>
      <c r="AB35" s="62" t="s">
        <v>4016</v>
      </c>
      <c r="AC35" s="62" t="s">
        <v>4017</v>
      </c>
      <c r="AD35" s="62" t="s">
        <v>4018</v>
      </c>
      <c r="AE35" s="62" t="s">
        <v>4019</v>
      </c>
      <c r="AF35" s="62" t="s">
        <v>4020</v>
      </c>
      <c r="AG35" s="61"/>
      <c r="AH35" s="63" t="s">
        <v>4021</v>
      </c>
      <c r="AI35" s="60" t="s">
        <v>4022</v>
      </c>
      <c r="AJ35" s="62" t="s">
        <v>4023</v>
      </c>
      <c r="AK35" s="62" t="s">
        <v>4024</v>
      </c>
      <c r="AL35" s="62" t="s">
        <v>4025</v>
      </c>
      <c r="AM35" s="62" t="s">
        <v>4026</v>
      </c>
      <c r="AN35" s="62" t="s">
        <v>4027</v>
      </c>
      <c r="AO35" s="62" t="s">
        <v>4028</v>
      </c>
      <c r="AP35" s="62" t="s">
        <v>4029</v>
      </c>
      <c r="AQ35" s="63" t="s">
        <v>4030</v>
      </c>
      <c r="AR35" s="60" t="s">
        <v>4031</v>
      </c>
      <c r="AS35" s="62" t="s">
        <v>4032</v>
      </c>
      <c r="AT35" s="62" t="s">
        <v>4033</v>
      </c>
      <c r="AU35" s="62" t="s">
        <v>4034</v>
      </c>
      <c r="AV35" s="62" t="s">
        <v>4035</v>
      </c>
      <c r="AW35" s="63" t="s">
        <v>4036</v>
      </c>
      <c r="AX35" s="60" t="s">
        <v>4037</v>
      </c>
      <c r="AY35" s="63" t="s">
        <v>4038</v>
      </c>
      <c r="BA35" s="389" t="n">
        <v>22</v>
      </c>
      <c r="BB35" s="390" t="s">
        <v>1497</v>
      </c>
    </row>
    <row r="36" customFormat="false" ht="18" hidden="false" customHeight="true" outlineLevel="0" collapsed="false">
      <c r="A36" s="100"/>
      <c r="B36" s="78" t="n">
        <v>31</v>
      </c>
      <c r="C36" s="102" t="s">
        <v>1498</v>
      </c>
      <c r="D36" s="84" t="s">
        <v>4039</v>
      </c>
      <c r="E36" s="85" t="s">
        <v>4040</v>
      </c>
      <c r="F36" s="85" t="s">
        <v>4041</v>
      </c>
      <c r="G36" s="85" t="s">
        <v>4042</v>
      </c>
      <c r="H36" s="85" t="s">
        <v>4043</v>
      </c>
      <c r="I36" s="85" t="s">
        <v>4044</v>
      </c>
      <c r="J36" s="85" t="s">
        <v>4045</v>
      </c>
      <c r="K36" s="85" t="s">
        <v>4046</v>
      </c>
      <c r="L36" s="85" t="s">
        <v>4047</v>
      </c>
      <c r="M36" s="85" t="s">
        <v>4048</v>
      </c>
      <c r="N36" s="86" t="s">
        <v>4049</v>
      </c>
      <c r="O36" s="84" t="s">
        <v>4050</v>
      </c>
      <c r="P36" s="85" t="s">
        <v>4051</v>
      </c>
      <c r="Q36" s="85" t="s">
        <v>4052</v>
      </c>
      <c r="R36" s="85" t="s">
        <v>4053</v>
      </c>
      <c r="S36" s="85" t="s">
        <v>4054</v>
      </c>
      <c r="T36" s="85" t="s">
        <v>4055</v>
      </c>
      <c r="U36" s="85" t="s">
        <v>4056</v>
      </c>
      <c r="V36" s="85" t="s">
        <v>4057</v>
      </c>
      <c r="W36" s="85" t="s">
        <v>4058</v>
      </c>
      <c r="X36" s="85" t="s">
        <v>4059</v>
      </c>
      <c r="Y36" s="97" t="s">
        <v>4060</v>
      </c>
      <c r="Z36" s="103" t="s">
        <v>4061</v>
      </c>
      <c r="AA36" s="78" t="s">
        <v>4062</v>
      </c>
      <c r="AB36" s="97" t="s">
        <v>4063</v>
      </c>
      <c r="AC36" s="97" t="s">
        <v>4064</v>
      </c>
      <c r="AD36" s="97" t="s">
        <v>4065</v>
      </c>
      <c r="AE36" s="97" t="s">
        <v>4066</v>
      </c>
      <c r="AF36" s="97" t="s">
        <v>4067</v>
      </c>
      <c r="AG36" s="97" t="s">
        <v>4068</v>
      </c>
      <c r="AH36" s="98"/>
      <c r="AI36" s="78" t="s">
        <v>4069</v>
      </c>
      <c r="AJ36" s="97" t="s">
        <v>4070</v>
      </c>
      <c r="AK36" s="97" t="s">
        <v>4071</v>
      </c>
      <c r="AL36" s="97" t="s">
        <v>4072</v>
      </c>
      <c r="AM36" s="97" t="s">
        <v>4073</v>
      </c>
      <c r="AN36" s="97" t="s">
        <v>4074</v>
      </c>
      <c r="AO36" s="97" t="s">
        <v>4075</v>
      </c>
      <c r="AP36" s="97" t="s">
        <v>4076</v>
      </c>
      <c r="AQ36" s="103" t="s">
        <v>4077</v>
      </c>
      <c r="AR36" s="78" t="s">
        <v>4078</v>
      </c>
      <c r="AS36" s="97" t="s">
        <v>4079</v>
      </c>
      <c r="AT36" s="97" t="s">
        <v>4080</v>
      </c>
      <c r="AU36" s="97" t="s">
        <v>4081</v>
      </c>
      <c r="AV36" s="97" t="s">
        <v>4082</v>
      </c>
      <c r="AW36" s="103" t="s">
        <v>4083</v>
      </c>
      <c r="AX36" s="78" t="s">
        <v>4084</v>
      </c>
      <c r="AY36" s="103" t="s">
        <v>4085</v>
      </c>
      <c r="BA36" s="389" t="n">
        <v>23</v>
      </c>
      <c r="BB36" s="390" t="s">
        <v>1546</v>
      </c>
    </row>
    <row r="37" customFormat="false" ht="18" hidden="false" customHeight="true" outlineLevel="0" collapsed="false">
      <c r="A37" s="104" t="s">
        <v>3</v>
      </c>
      <c r="B37" s="88" t="n">
        <v>32</v>
      </c>
      <c r="C37" s="91" t="s">
        <v>37</v>
      </c>
      <c r="D37" s="88" t="s">
        <v>4086</v>
      </c>
      <c r="E37" s="90" t="s">
        <v>4087</v>
      </c>
      <c r="F37" s="90" t="s">
        <v>4088</v>
      </c>
      <c r="G37" s="90" t="s">
        <v>4089</v>
      </c>
      <c r="H37" s="90" t="s">
        <v>4090</v>
      </c>
      <c r="I37" s="90" t="s">
        <v>4091</v>
      </c>
      <c r="J37" s="90" t="s">
        <v>4092</v>
      </c>
      <c r="K37" s="90" t="s">
        <v>4093</v>
      </c>
      <c r="L37" s="90" t="s">
        <v>4094</v>
      </c>
      <c r="M37" s="90" t="s">
        <v>4095</v>
      </c>
      <c r="N37" s="91" t="s">
        <v>4096</v>
      </c>
      <c r="O37" s="88" t="s">
        <v>4097</v>
      </c>
      <c r="P37" s="90" t="s">
        <v>4098</v>
      </c>
      <c r="Q37" s="90" t="s">
        <v>4099</v>
      </c>
      <c r="R37" s="90" t="s">
        <v>4100</v>
      </c>
      <c r="S37" s="90" t="s">
        <v>4101</v>
      </c>
      <c r="T37" s="90" t="s">
        <v>4102</v>
      </c>
      <c r="U37" s="90" t="s">
        <v>4103</v>
      </c>
      <c r="V37" s="90" t="s">
        <v>4104</v>
      </c>
      <c r="W37" s="90" t="s">
        <v>4105</v>
      </c>
      <c r="X37" s="90" t="s">
        <v>4106</v>
      </c>
      <c r="Y37" s="90" t="s">
        <v>4107</v>
      </c>
      <c r="Z37" s="91" t="s">
        <v>4108</v>
      </c>
      <c r="AA37" s="88" t="s">
        <v>4109</v>
      </c>
      <c r="AB37" s="90" t="s">
        <v>4110</v>
      </c>
      <c r="AC37" s="90" t="s">
        <v>4111</v>
      </c>
      <c r="AD37" s="90" t="s">
        <v>4112</v>
      </c>
      <c r="AE37" s="90" t="s">
        <v>4113</v>
      </c>
      <c r="AF37" s="90" t="s">
        <v>4114</v>
      </c>
      <c r="AG37" s="90" t="s">
        <v>4115</v>
      </c>
      <c r="AH37" s="91" t="s">
        <v>4116</v>
      </c>
      <c r="AI37" s="53"/>
      <c r="AJ37" s="90" t="s">
        <v>4117</v>
      </c>
      <c r="AK37" s="90" t="s">
        <v>4118</v>
      </c>
      <c r="AL37" s="90" t="s">
        <v>4119</v>
      </c>
      <c r="AM37" s="90" t="s">
        <v>4120</v>
      </c>
      <c r="AN37" s="90" t="s">
        <v>4121</v>
      </c>
      <c r="AO37" s="90" t="s">
        <v>4122</v>
      </c>
      <c r="AP37" s="90" t="s">
        <v>4123</v>
      </c>
      <c r="AQ37" s="91" t="s">
        <v>4124</v>
      </c>
      <c r="AR37" s="88" t="s">
        <v>4125</v>
      </c>
      <c r="AS37" s="90" t="s">
        <v>4126</v>
      </c>
      <c r="AT37" s="90" t="s">
        <v>4127</v>
      </c>
      <c r="AU37" s="90" t="s">
        <v>4128</v>
      </c>
      <c r="AV37" s="90" t="s">
        <v>4129</v>
      </c>
      <c r="AW37" s="91" t="s">
        <v>4130</v>
      </c>
      <c r="AX37" s="88" t="s">
        <v>4131</v>
      </c>
      <c r="AY37" s="91" t="s">
        <v>4132</v>
      </c>
      <c r="BA37" s="389" t="n">
        <v>24</v>
      </c>
      <c r="BB37" s="390" t="s">
        <v>1594</v>
      </c>
    </row>
    <row r="38" customFormat="false" ht="18" hidden="false" customHeight="true" outlineLevel="0" collapsed="false">
      <c r="A38" s="104"/>
      <c r="B38" s="64" t="n">
        <v>33</v>
      </c>
      <c r="C38" s="101" t="s">
        <v>38</v>
      </c>
      <c r="D38" s="66" t="s">
        <v>4133</v>
      </c>
      <c r="E38" s="68" t="s">
        <v>4134</v>
      </c>
      <c r="F38" s="68" t="s">
        <v>4135</v>
      </c>
      <c r="G38" s="68" t="s">
        <v>4136</v>
      </c>
      <c r="H38" s="68" t="s">
        <v>4137</v>
      </c>
      <c r="I38" s="68" t="s">
        <v>4138</v>
      </c>
      <c r="J38" s="68" t="s">
        <v>4139</v>
      </c>
      <c r="K38" s="68" t="s">
        <v>4140</v>
      </c>
      <c r="L38" s="68" t="s">
        <v>4141</v>
      </c>
      <c r="M38" s="68" t="s">
        <v>4142</v>
      </c>
      <c r="N38" s="69" t="s">
        <v>4143</v>
      </c>
      <c r="O38" s="66" t="s">
        <v>4144</v>
      </c>
      <c r="P38" s="68" t="s">
        <v>4145</v>
      </c>
      <c r="Q38" s="68" t="s">
        <v>4146</v>
      </c>
      <c r="R38" s="68" t="s">
        <v>4147</v>
      </c>
      <c r="S38" s="68" t="s">
        <v>4148</v>
      </c>
      <c r="T38" s="68" t="s">
        <v>4149</v>
      </c>
      <c r="U38" s="68" t="s">
        <v>4150</v>
      </c>
      <c r="V38" s="68" t="s">
        <v>4151</v>
      </c>
      <c r="W38" s="68" t="s">
        <v>4152</v>
      </c>
      <c r="X38" s="68" t="s">
        <v>4153</v>
      </c>
      <c r="Y38" s="67" t="s">
        <v>4154</v>
      </c>
      <c r="Z38" s="92" t="s">
        <v>4155</v>
      </c>
      <c r="AA38" s="64" t="s">
        <v>4156</v>
      </c>
      <c r="AB38" s="67" t="s">
        <v>4157</v>
      </c>
      <c r="AC38" s="67" t="s">
        <v>4158</v>
      </c>
      <c r="AD38" s="67" t="s">
        <v>4159</v>
      </c>
      <c r="AE38" s="67" t="s">
        <v>4160</v>
      </c>
      <c r="AF38" s="67" t="s">
        <v>4161</v>
      </c>
      <c r="AG38" s="67" t="s">
        <v>4162</v>
      </c>
      <c r="AH38" s="92" t="s">
        <v>4163</v>
      </c>
      <c r="AI38" s="64" t="s">
        <v>4164</v>
      </c>
      <c r="AJ38" s="61"/>
      <c r="AK38" s="67" t="s">
        <v>4165</v>
      </c>
      <c r="AL38" s="67" t="s">
        <v>4166</v>
      </c>
      <c r="AM38" s="67" t="s">
        <v>4167</v>
      </c>
      <c r="AN38" s="67" t="s">
        <v>4168</v>
      </c>
      <c r="AO38" s="67" t="s">
        <v>4169</v>
      </c>
      <c r="AP38" s="67" t="s">
        <v>4170</v>
      </c>
      <c r="AQ38" s="92" t="s">
        <v>4171</v>
      </c>
      <c r="AR38" s="64" t="s">
        <v>4172</v>
      </c>
      <c r="AS38" s="67" t="s">
        <v>4173</v>
      </c>
      <c r="AT38" s="67" t="s">
        <v>4174</v>
      </c>
      <c r="AU38" s="67" t="s">
        <v>4175</v>
      </c>
      <c r="AV38" s="67" t="s">
        <v>4176</v>
      </c>
      <c r="AW38" s="92" t="s">
        <v>4177</v>
      </c>
      <c r="AX38" s="64" t="s">
        <v>4178</v>
      </c>
      <c r="AY38" s="92" t="s">
        <v>4179</v>
      </c>
      <c r="BA38" s="389" t="n">
        <v>25</v>
      </c>
      <c r="BB38" s="390" t="s">
        <v>1642</v>
      </c>
    </row>
    <row r="39" customFormat="false" ht="18" hidden="false" customHeight="true" outlineLevel="0" collapsed="false">
      <c r="A39" s="104"/>
      <c r="B39" s="60" t="n">
        <v>34</v>
      </c>
      <c r="C39" s="63" t="s">
        <v>4180</v>
      </c>
      <c r="D39" s="60" t="s">
        <v>4181</v>
      </c>
      <c r="E39" s="62" t="s">
        <v>4182</v>
      </c>
      <c r="F39" s="62" t="s">
        <v>4183</v>
      </c>
      <c r="G39" s="62" t="s">
        <v>4184</v>
      </c>
      <c r="H39" s="62" t="s">
        <v>4185</v>
      </c>
      <c r="I39" s="62" t="s">
        <v>4186</v>
      </c>
      <c r="J39" s="62" t="s">
        <v>4187</v>
      </c>
      <c r="K39" s="62" t="s">
        <v>4188</v>
      </c>
      <c r="L39" s="62" t="s">
        <v>4189</v>
      </c>
      <c r="M39" s="62" t="s">
        <v>4190</v>
      </c>
      <c r="N39" s="63" t="s">
        <v>4191</v>
      </c>
      <c r="O39" s="60" t="s">
        <v>4192</v>
      </c>
      <c r="P39" s="62" t="s">
        <v>4193</v>
      </c>
      <c r="Q39" s="62" t="s">
        <v>4194</v>
      </c>
      <c r="R39" s="62" t="s">
        <v>4195</v>
      </c>
      <c r="S39" s="62" t="s">
        <v>4196</v>
      </c>
      <c r="T39" s="62" t="s">
        <v>4197</v>
      </c>
      <c r="U39" s="62" t="s">
        <v>4198</v>
      </c>
      <c r="V39" s="62" t="s">
        <v>4199</v>
      </c>
      <c r="W39" s="62" t="s">
        <v>4200</v>
      </c>
      <c r="X39" s="62" t="s">
        <v>4201</v>
      </c>
      <c r="Y39" s="62" t="s">
        <v>4202</v>
      </c>
      <c r="Z39" s="63" t="s">
        <v>4203</v>
      </c>
      <c r="AA39" s="60" t="s">
        <v>4204</v>
      </c>
      <c r="AB39" s="62" t="s">
        <v>4205</v>
      </c>
      <c r="AC39" s="62" t="s">
        <v>4206</v>
      </c>
      <c r="AD39" s="62" t="s">
        <v>4207</v>
      </c>
      <c r="AE39" s="62" t="s">
        <v>4208</v>
      </c>
      <c r="AF39" s="62" t="s">
        <v>4209</v>
      </c>
      <c r="AG39" s="62" t="s">
        <v>4210</v>
      </c>
      <c r="AH39" s="63" t="s">
        <v>4211</v>
      </c>
      <c r="AI39" s="60" t="s">
        <v>4212</v>
      </c>
      <c r="AJ39" s="62" t="s">
        <v>4213</v>
      </c>
      <c r="AK39" s="61"/>
      <c r="AL39" s="62" t="s">
        <v>4214</v>
      </c>
      <c r="AM39" s="62" t="s">
        <v>4215</v>
      </c>
      <c r="AN39" s="62" t="s">
        <v>4216</v>
      </c>
      <c r="AO39" s="62" t="s">
        <v>4217</v>
      </c>
      <c r="AP39" s="62" t="s">
        <v>4218</v>
      </c>
      <c r="AQ39" s="63" t="s">
        <v>4219</v>
      </c>
      <c r="AR39" s="60" t="s">
        <v>4220</v>
      </c>
      <c r="AS39" s="62" t="s">
        <v>4221</v>
      </c>
      <c r="AT39" s="62" t="s">
        <v>4222</v>
      </c>
      <c r="AU39" s="62" t="s">
        <v>4223</v>
      </c>
      <c r="AV39" s="62" t="s">
        <v>4224</v>
      </c>
      <c r="AW39" s="63" t="s">
        <v>4225</v>
      </c>
      <c r="AX39" s="60" t="s">
        <v>4226</v>
      </c>
      <c r="AY39" s="63" t="s">
        <v>4227</v>
      </c>
      <c r="BA39" s="389" t="n">
        <v>26</v>
      </c>
      <c r="BB39" s="390" t="s">
        <v>1691</v>
      </c>
    </row>
    <row r="40" customFormat="false" ht="18" hidden="false" customHeight="true" outlineLevel="0" collapsed="false">
      <c r="A40" s="104"/>
      <c r="B40" s="64" t="n">
        <v>35</v>
      </c>
      <c r="C40" s="101" t="s">
        <v>1692</v>
      </c>
      <c r="D40" s="66" t="s">
        <v>4228</v>
      </c>
      <c r="E40" s="68" t="s">
        <v>4229</v>
      </c>
      <c r="F40" s="68" t="s">
        <v>4230</v>
      </c>
      <c r="G40" s="68" t="s">
        <v>4231</v>
      </c>
      <c r="H40" s="68" t="s">
        <v>4232</v>
      </c>
      <c r="I40" s="68" t="s">
        <v>4233</v>
      </c>
      <c r="J40" s="68" t="s">
        <v>4234</v>
      </c>
      <c r="K40" s="68" t="s">
        <v>4235</v>
      </c>
      <c r="L40" s="68" t="s">
        <v>4236</v>
      </c>
      <c r="M40" s="68" t="s">
        <v>4237</v>
      </c>
      <c r="N40" s="69" t="s">
        <v>4238</v>
      </c>
      <c r="O40" s="66" t="s">
        <v>4239</v>
      </c>
      <c r="P40" s="68" t="s">
        <v>4240</v>
      </c>
      <c r="Q40" s="68" t="s">
        <v>4241</v>
      </c>
      <c r="R40" s="68" t="s">
        <v>4242</v>
      </c>
      <c r="S40" s="68" t="s">
        <v>4243</v>
      </c>
      <c r="T40" s="68" t="s">
        <v>4244</v>
      </c>
      <c r="U40" s="68" t="s">
        <v>4245</v>
      </c>
      <c r="V40" s="68" t="s">
        <v>4246</v>
      </c>
      <c r="W40" s="68" t="s">
        <v>4247</v>
      </c>
      <c r="X40" s="68" t="s">
        <v>4248</v>
      </c>
      <c r="Y40" s="67" t="s">
        <v>4249</v>
      </c>
      <c r="Z40" s="92" t="s">
        <v>4250</v>
      </c>
      <c r="AA40" s="64" t="s">
        <v>4251</v>
      </c>
      <c r="AB40" s="67" t="s">
        <v>4252</v>
      </c>
      <c r="AC40" s="67" t="s">
        <v>4253</v>
      </c>
      <c r="AD40" s="67" t="s">
        <v>4254</v>
      </c>
      <c r="AE40" s="67" t="s">
        <v>4255</v>
      </c>
      <c r="AF40" s="67" t="s">
        <v>4256</v>
      </c>
      <c r="AG40" s="67" t="s">
        <v>4257</v>
      </c>
      <c r="AH40" s="92" t="s">
        <v>4258</v>
      </c>
      <c r="AI40" s="64" t="s">
        <v>4259</v>
      </c>
      <c r="AJ40" s="67" t="s">
        <v>4260</v>
      </c>
      <c r="AK40" s="67" t="s">
        <v>4261</v>
      </c>
      <c r="AL40" s="61"/>
      <c r="AM40" s="67" t="s">
        <v>4262</v>
      </c>
      <c r="AN40" s="67" t="s">
        <v>4263</v>
      </c>
      <c r="AO40" s="67" t="s">
        <v>4264</v>
      </c>
      <c r="AP40" s="67" t="s">
        <v>4265</v>
      </c>
      <c r="AQ40" s="92" t="s">
        <v>4266</v>
      </c>
      <c r="AR40" s="64" t="s">
        <v>4267</v>
      </c>
      <c r="AS40" s="67" t="s">
        <v>4268</v>
      </c>
      <c r="AT40" s="67" t="s">
        <v>4269</v>
      </c>
      <c r="AU40" s="67" t="s">
        <v>4270</v>
      </c>
      <c r="AV40" s="67" t="s">
        <v>4271</v>
      </c>
      <c r="AW40" s="92" t="s">
        <v>4272</v>
      </c>
      <c r="AX40" s="64" t="s">
        <v>4273</v>
      </c>
      <c r="AY40" s="92" t="s">
        <v>4274</v>
      </c>
      <c r="BA40" s="389" t="n">
        <v>27</v>
      </c>
      <c r="BB40" s="390" t="s">
        <v>1740</v>
      </c>
    </row>
    <row r="41" customFormat="false" ht="18" hidden="false" customHeight="true" outlineLevel="0" collapsed="false">
      <c r="A41" s="104"/>
      <c r="B41" s="60" t="n">
        <v>36</v>
      </c>
      <c r="C41" s="63" t="s">
        <v>41</v>
      </c>
      <c r="D41" s="60" t="s">
        <v>4275</v>
      </c>
      <c r="E41" s="62" t="s">
        <v>4276</v>
      </c>
      <c r="F41" s="62" t="s">
        <v>4277</v>
      </c>
      <c r="G41" s="62" t="s">
        <v>4278</v>
      </c>
      <c r="H41" s="62" t="s">
        <v>4279</v>
      </c>
      <c r="I41" s="62" t="s">
        <v>4280</v>
      </c>
      <c r="J41" s="62" t="s">
        <v>4281</v>
      </c>
      <c r="K41" s="62" t="s">
        <v>4282</v>
      </c>
      <c r="L41" s="62" t="s">
        <v>4283</v>
      </c>
      <c r="M41" s="62" t="s">
        <v>4284</v>
      </c>
      <c r="N41" s="63" t="s">
        <v>4285</v>
      </c>
      <c r="O41" s="60" t="s">
        <v>4286</v>
      </c>
      <c r="P41" s="62" t="s">
        <v>4287</v>
      </c>
      <c r="Q41" s="62" t="s">
        <v>4288</v>
      </c>
      <c r="R41" s="62" t="s">
        <v>4289</v>
      </c>
      <c r="S41" s="62" t="s">
        <v>4290</v>
      </c>
      <c r="T41" s="62" t="s">
        <v>4291</v>
      </c>
      <c r="U41" s="62" t="s">
        <v>4292</v>
      </c>
      <c r="V41" s="62" t="s">
        <v>4293</v>
      </c>
      <c r="W41" s="62" t="s">
        <v>4294</v>
      </c>
      <c r="X41" s="62" t="s">
        <v>4295</v>
      </c>
      <c r="Y41" s="62" t="s">
        <v>4296</v>
      </c>
      <c r="Z41" s="63" t="s">
        <v>4297</v>
      </c>
      <c r="AA41" s="60" t="s">
        <v>4298</v>
      </c>
      <c r="AB41" s="62" t="s">
        <v>4299</v>
      </c>
      <c r="AC41" s="62" t="s">
        <v>4300</v>
      </c>
      <c r="AD41" s="62" t="s">
        <v>4301</v>
      </c>
      <c r="AE41" s="62" t="s">
        <v>4302</v>
      </c>
      <c r="AF41" s="62" t="s">
        <v>4303</v>
      </c>
      <c r="AG41" s="62" t="s">
        <v>4304</v>
      </c>
      <c r="AH41" s="63" t="s">
        <v>4305</v>
      </c>
      <c r="AI41" s="60" t="s">
        <v>4306</v>
      </c>
      <c r="AJ41" s="62" t="s">
        <v>4307</v>
      </c>
      <c r="AK41" s="62" t="s">
        <v>4308</v>
      </c>
      <c r="AL41" s="62" t="s">
        <v>4309</v>
      </c>
      <c r="AM41" s="61"/>
      <c r="AN41" s="62" t="s">
        <v>4310</v>
      </c>
      <c r="AO41" s="62" t="s">
        <v>4311</v>
      </c>
      <c r="AP41" s="62" t="s">
        <v>4312</v>
      </c>
      <c r="AQ41" s="63" t="s">
        <v>4313</v>
      </c>
      <c r="AR41" s="60" t="s">
        <v>4314</v>
      </c>
      <c r="AS41" s="62" t="s">
        <v>4315</v>
      </c>
      <c r="AT41" s="62" t="s">
        <v>4316</v>
      </c>
      <c r="AU41" s="62" t="s">
        <v>4317</v>
      </c>
      <c r="AV41" s="62" t="s">
        <v>4318</v>
      </c>
      <c r="AW41" s="63" t="s">
        <v>4319</v>
      </c>
      <c r="AX41" s="60" t="s">
        <v>4320</v>
      </c>
      <c r="AY41" s="63" t="s">
        <v>4321</v>
      </c>
      <c r="BA41" s="389" t="n">
        <v>28</v>
      </c>
      <c r="BB41" s="390" t="s">
        <v>1788</v>
      </c>
    </row>
    <row r="42" customFormat="false" ht="18" hidden="false" customHeight="true" outlineLevel="0" collapsed="false">
      <c r="A42" s="104"/>
      <c r="B42" s="64" t="n">
        <v>37</v>
      </c>
      <c r="C42" s="101" t="s">
        <v>42</v>
      </c>
      <c r="D42" s="66" t="s">
        <v>4322</v>
      </c>
      <c r="E42" s="68" t="s">
        <v>4323</v>
      </c>
      <c r="F42" s="68" t="s">
        <v>4324</v>
      </c>
      <c r="G42" s="68" t="s">
        <v>4325</v>
      </c>
      <c r="H42" s="68" t="s">
        <v>4326</v>
      </c>
      <c r="I42" s="68" t="s">
        <v>4327</v>
      </c>
      <c r="J42" s="68" t="s">
        <v>4328</v>
      </c>
      <c r="K42" s="68" t="s">
        <v>4329</v>
      </c>
      <c r="L42" s="68" t="s">
        <v>4330</v>
      </c>
      <c r="M42" s="68" t="s">
        <v>4331</v>
      </c>
      <c r="N42" s="69" t="s">
        <v>4332</v>
      </c>
      <c r="O42" s="66" t="s">
        <v>4333</v>
      </c>
      <c r="P42" s="68" t="s">
        <v>4334</v>
      </c>
      <c r="Q42" s="68" t="s">
        <v>4335</v>
      </c>
      <c r="R42" s="68" t="s">
        <v>4336</v>
      </c>
      <c r="S42" s="68" t="s">
        <v>4337</v>
      </c>
      <c r="T42" s="68" t="s">
        <v>4338</v>
      </c>
      <c r="U42" s="68" t="s">
        <v>4339</v>
      </c>
      <c r="V42" s="68" t="s">
        <v>4340</v>
      </c>
      <c r="W42" s="68" t="s">
        <v>4341</v>
      </c>
      <c r="X42" s="68" t="s">
        <v>4342</v>
      </c>
      <c r="Y42" s="67" t="s">
        <v>4343</v>
      </c>
      <c r="Z42" s="92" t="s">
        <v>4344</v>
      </c>
      <c r="AA42" s="64" t="s">
        <v>4345</v>
      </c>
      <c r="AB42" s="67" t="s">
        <v>4346</v>
      </c>
      <c r="AC42" s="67" t="s">
        <v>4347</v>
      </c>
      <c r="AD42" s="67" t="s">
        <v>4348</v>
      </c>
      <c r="AE42" s="67" t="s">
        <v>4349</v>
      </c>
      <c r="AF42" s="67" t="s">
        <v>4350</v>
      </c>
      <c r="AG42" s="67" t="s">
        <v>4351</v>
      </c>
      <c r="AH42" s="92" t="s">
        <v>4352</v>
      </c>
      <c r="AI42" s="64" t="s">
        <v>4353</v>
      </c>
      <c r="AJ42" s="67" t="s">
        <v>4354</v>
      </c>
      <c r="AK42" s="67" t="s">
        <v>4355</v>
      </c>
      <c r="AL42" s="67" t="s">
        <v>4356</v>
      </c>
      <c r="AM42" s="67" t="s">
        <v>4357</v>
      </c>
      <c r="AN42" s="61"/>
      <c r="AO42" s="67" t="s">
        <v>4358</v>
      </c>
      <c r="AP42" s="67" t="s">
        <v>4359</v>
      </c>
      <c r="AQ42" s="92" t="s">
        <v>4360</v>
      </c>
      <c r="AR42" s="64" t="s">
        <v>4361</v>
      </c>
      <c r="AS42" s="67" t="s">
        <v>4362</v>
      </c>
      <c r="AT42" s="67" t="s">
        <v>4363</v>
      </c>
      <c r="AU42" s="67" t="s">
        <v>4364</v>
      </c>
      <c r="AV42" s="67" t="s">
        <v>4365</v>
      </c>
      <c r="AW42" s="92" t="s">
        <v>4366</v>
      </c>
      <c r="AX42" s="64" t="s">
        <v>4367</v>
      </c>
      <c r="AY42" s="92" t="s">
        <v>4368</v>
      </c>
      <c r="BA42" s="389" t="n">
        <v>29</v>
      </c>
      <c r="BB42" s="390" t="s">
        <v>1836</v>
      </c>
    </row>
    <row r="43" customFormat="false" ht="18" hidden="false" customHeight="true" outlineLevel="0" collapsed="false">
      <c r="A43" s="104"/>
      <c r="B43" s="60" t="n">
        <v>38</v>
      </c>
      <c r="C43" s="63" t="s">
        <v>1837</v>
      </c>
      <c r="D43" s="60" t="s">
        <v>4369</v>
      </c>
      <c r="E43" s="62" t="s">
        <v>4370</v>
      </c>
      <c r="F43" s="62" t="s">
        <v>4371</v>
      </c>
      <c r="G43" s="62" t="s">
        <v>4372</v>
      </c>
      <c r="H43" s="62" t="s">
        <v>4373</v>
      </c>
      <c r="I43" s="62" t="s">
        <v>4374</v>
      </c>
      <c r="J43" s="62" t="s">
        <v>4375</v>
      </c>
      <c r="K43" s="62" t="s">
        <v>4376</v>
      </c>
      <c r="L43" s="62" t="s">
        <v>4377</v>
      </c>
      <c r="M43" s="62" t="s">
        <v>4378</v>
      </c>
      <c r="N43" s="63" t="s">
        <v>4379</v>
      </c>
      <c r="O43" s="60" t="s">
        <v>4380</v>
      </c>
      <c r="P43" s="62" t="s">
        <v>4381</v>
      </c>
      <c r="Q43" s="62" t="s">
        <v>4382</v>
      </c>
      <c r="R43" s="62" t="s">
        <v>4383</v>
      </c>
      <c r="S43" s="62" t="s">
        <v>4384</v>
      </c>
      <c r="T43" s="62" t="s">
        <v>4385</v>
      </c>
      <c r="U43" s="62" t="s">
        <v>4386</v>
      </c>
      <c r="V43" s="62" t="s">
        <v>4387</v>
      </c>
      <c r="W43" s="62" t="s">
        <v>4388</v>
      </c>
      <c r="X43" s="62" t="s">
        <v>4389</v>
      </c>
      <c r="Y43" s="62" t="s">
        <v>4390</v>
      </c>
      <c r="Z43" s="63" t="s">
        <v>4391</v>
      </c>
      <c r="AA43" s="60" t="s">
        <v>4392</v>
      </c>
      <c r="AB43" s="62" t="s">
        <v>4393</v>
      </c>
      <c r="AC43" s="62" t="s">
        <v>4394</v>
      </c>
      <c r="AD43" s="62" t="s">
        <v>4395</v>
      </c>
      <c r="AE43" s="62" t="s">
        <v>4396</v>
      </c>
      <c r="AF43" s="62" t="s">
        <v>4397</v>
      </c>
      <c r="AG43" s="62" t="s">
        <v>4398</v>
      </c>
      <c r="AH43" s="63" t="s">
        <v>4399</v>
      </c>
      <c r="AI43" s="60" t="s">
        <v>4400</v>
      </c>
      <c r="AJ43" s="62" t="s">
        <v>4401</v>
      </c>
      <c r="AK43" s="62" t="s">
        <v>4402</v>
      </c>
      <c r="AL43" s="62" t="s">
        <v>4403</v>
      </c>
      <c r="AM43" s="62" t="s">
        <v>4404</v>
      </c>
      <c r="AN43" s="62" t="s">
        <v>4405</v>
      </c>
      <c r="AO43" s="61"/>
      <c r="AP43" s="62" t="s">
        <v>4406</v>
      </c>
      <c r="AQ43" s="63" t="s">
        <v>4407</v>
      </c>
      <c r="AR43" s="60" t="s">
        <v>4408</v>
      </c>
      <c r="AS43" s="62" t="s">
        <v>4409</v>
      </c>
      <c r="AT43" s="62" t="s">
        <v>4410</v>
      </c>
      <c r="AU43" s="62" t="s">
        <v>4411</v>
      </c>
      <c r="AV43" s="62" t="s">
        <v>4412</v>
      </c>
      <c r="AW43" s="63" t="s">
        <v>4413</v>
      </c>
      <c r="AX43" s="60" t="s">
        <v>4414</v>
      </c>
      <c r="AY43" s="63" t="s">
        <v>4415</v>
      </c>
      <c r="BA43" s="389" t="n">
        <v>30</v>
      </c>
      <c r="BB43" s="390" t="s">
        <v>1885</v>
      </c>
    </row>
    <row r="44" customFormat="false" ht="18" hidden="false" customHeight="true" outlineLevel="0" collapsed="false">
      <c r="A44" s="104"/>
      <c r="B44" s="64" t="n">
        <v>39</v>
      </c>
      <c r="C44" s="101" t="s">
        <v>44</v>
      </c>
      <c r="D44" s="66" t="s">
        <v>4416</v>
      </c>
      <c r="E44" s="68" t="s">
        <v>4417</v>
      </c>
      <c r="F44" s="68" t="s">
        <v>4418</v>
      </c>
      <c r="G44" s="68" t="s">
        <v>4419</v>
      </c>
      <c r="H44" s="68" t="s">
        <v>4420</v>
      </c>
      <c r="I44" s="68" t="s">
        <v>4421</v>
      </c>
      <c r="J44" s="68" t="s">
        <v>4422</v>
      </c>
      <c r="K44" s="68" t="s">
        <v>4423</v>
      </c>
      <c r="L44" s="68" t="s">
        <v>4424</v>
      </c>
      <c r="M44" s="68" t="s">
        <v>4425</v>
      </c>
      <c r="N44" s="69" t="s">
        <v>4426</v>
      </c>
      <c r="O44" s="66" t="s">
        <v>4427</v>
      </c>
      <c r="P44" s="68" t="s">
        <v>4428</v>
      </c>
      <c r="Q44" s="68" t="s">
        <v>4429</v>
      </c>
      <c r="R44" s="68" t="s">
        <v>4430</v>
      </c>
      <c r="S44" s="68" t="s">
        <v>4431</v>
      </c>
      <c r="T44" s="68" t="s">
        <v>4432</v>
      </c>
      <c r="U44" s="68" t="s">
        <v>4433</v>
      </c>
      <c r="V44" s="68" t="s">
        <v>4434</v>
      </c>
      <c r="W44" s="68" t="s">
        <v>4435</v>
      </c>
      <c r="X44" s="68" t="s">
        <v>4436</v>
      </c>
      <c r="Y44" s="67" t="s">
        <v>4437</v>
      </c>
      <c r="Z44" s="92" t="s">
        <v>4438</v>
      </c>
      <c r="AA44" s="64" t="s">
        <v>4439</v>
      </c>
      <c r="AB44" s="67" t="s">
        <v>4440</v>
      </c>
      <c r="AC44" s="67" t="s">
        <v>4441</v>
      </c>
      <c r="AD44" s="67" t="s">
        <v>4442</v>
      </c>
      <c r="AE44" s="67" t="s">
        <v>4443</v>
      </c>
      <c r="AF44" s="67" t="s">
        <v>4444</v>
      </c>
      <c r="AG44" s="67" t="s">
        <v>4445</v>
      </c>
      <c r="AH44" s="92" t="s">
        <v>4446</v>
      </c>
      <c r="AI44" s="64" t="s">
        <v>4447</v>
      </c>
      <c r="AJ44" s="67" t="s">
        <v>4448</v>
      </c>
      <c r="AK44" s="67" t="s">
        <v>4449</v>
      </c>
      <c r="AL44" s="67" t="s">
        <v>4450</v>
      </c>
      <c r="AM44" s="67" t="s">
        <v>4451</v>
      </c>
      <c r="AN44" s="67" t="s">
        <v>4452</v>
      </c>
      <c r="AO44" s="67" t="s">
        <v>4453</v>
      </c>
      <c r="AP44" s="61"/>
      <c r="AQ44" s="92" t="s">
        <v>4454</v>
      </c>
      <c r="AR44" s="64" t="s">
        <v>4455</v>
      </c>
      <c r="AS44" s="67" t="s">
        <v>4456</v>
      </c>
      <c r="AT44" s="67" t="s">
        <v>4457</v>
      </c>
      <c r="AU44" s="67" t="s">
        <v>4458</v>
      </c>
      <c r="AV44" s="67" t="s">
        <v>4459</v>
      </c>
      <c r="AW44" s="92" t="s">
        <v>4460</v>
      </c>
      <c r="AX44" s="64" t="s">
        <v>4461</v>
      </c>
      <c r="AY44" s="92" t="s">
        <v>4462</v>
      </c>
      <c r="BA44" s="389" t="n">
        <v>31</v>
      </c>
      <c r="BB44" s="390" t="s">
        <v>1933</v>
      </c>
    </row>
    <row r="45" customFormat="false" ht="18" hidden="false" customHeight="true" outlineLevel="0" collapsed="false">
      <c r="A45" s="104"/>
      <c r="B45" s="105" t="n">
        <v>40</v>
      </c>
      <c r="C45" s="106" t="s">
        <v>1934</v>
      </c>
      <c r="D45" s="105" t="s">
        <v>4463</v>
      </c>
      <c r="E45" s="107" t="s">
        <v>4464</v>
      </c>
      <c r="F45" s="107" t="s">
        <v>4465</v>
      </c>
      <c r="G45" s="107" t="s">
        <v>4466</v>
      </c>
      <c r="H45" s="107" t="s">
        <v>4467</v>
      </c>
      <c r="I45" s="107" t="s">
        <v>4468</v>
      </c>
      <c r="J45" s="107" t="s">
        <v>4469</v>
      </c>
      <c r="K45" s="107" t="s">
        <v>4470</v>
      </c>
      <c r="L45" s="107" t="s">
        <v>4471</v>
      </c>
      <c r="M45" s="107" t="s">
        <v>4472</v>
      </c>
      <c r="N45" s="108" t="s">
        <v>4473</v>
      </c>
      <c r="O45" s="105" t="s">
        <v>4474</v>
      </c>
      <c r="P45" s="107" t="s">
        <v>4475</v>
      </c>
      <c r="Q45" s="107" t="s">
        <v>4476</v>
      </c>
      <c r="R45" s="107" t="s">
        <v>4477</v>
      </c>
      <c r="S45" s="107" t="s">
        <v>4478</v>
      </c>
      <c r="T45" s="107" t="s">
        <v>4479</v>
      </c>
      <c r="U45" s="107" t="s">
        <v>4480</v>
      </c>
      <c r="V45" s="107" t="s">
        <v>4481</v>
      </c>
      <c r="W45" s="107" t="s">
        <v>4482</v>
      </c>
      <c r="X45" s="107" t="s">
        <v>4483</v>
      </c>
      <c r="Y45" s="107" t="s">
        <v>4484</v>
      </c>
      <c r="Z45" s="108" t="s">
        <v>4485</v>
      </c>
      <c r="AA45" s="105" t="s">
        <v>4486</v>
      </c>
      <c r="AB45" s="107" t="s">
        <v>4487</v>
      </c>
      <c r="AC45" s="107" t="s">
        <v>4488</v>
      </c>
      <c r="AD45" s="107" t="s">
        <v>4489</v>
      </c>
      <c r="AE45" s="107" t="s">
        <v>4490</v>
      </c>
      <c r="AF45" s="107" t="s">
        <v>4491</v>
      </c>
      <c r="AG45" s="107" t="s">
        <v>4492</v>
      </c>
      <c r="AH45" s="108" t="s">
        <v>4493</v>
      </c>
      <c r="AI45" s="105" t="s">
        <v>4494</v>
      </c>
      <c r="AJ45" s="107" t="s">
        <v>4495</v>
      </c>
      <c r="AK45" s="107" t="s">
        <v>4496</v>
      </c>
      <c r="AL45" s="107" t="s">
        <v>4497</v>
      </c>
      <c r="AM45" s="107" t="s">
        <v>4498</v>
      </c>
      <c r="AN45" s="107" t="s">
        <v>4499</v>
      </c>
      <c r="AO45" s="107" t="s">
        <v>4500</v>
      </c>
      <c r="AP45" s="107" t="s">
        <v>4501</v>
      </c>
      <c r="AQ45" s="98"/>
      <c r="AR45" s="105" t="s">
        <v>4502</v>
      </c>
      <c r="AS45" s="107" t="s">
        <v>4503</v>
      </c>
      <c r="AT45" s="107" t="s">
        <v>4504</v>
      </c>
      <c r="AU45" s="107" t="s">
        <v>4505</v>
      </c>
      <c r="AV45" s="107" t="s">
        <v>4506</v>
      </c>
      <c r="AW45" s="108" t="s">
        <v>4507</v>
      </c>
      <c r="AX45" s="105" t="s">
        <v>4508</v>
      </c>
      <c r="AY45" s="108" t="s">
        <v>4509</v>
      </c>
      <c r="BA45" s="389" t="n">
        <v>32</v>
      </c>
      <c r="BB45" s="390" t="s">
        <v>1982</v>
      </c>
    </row>
    <row r="46" customFormat="false" ht="18" hidden="false" customHeight="true" outlineLevel="0" collapsed="false">
      <c r="A46" s="109" t="s">
        <v>4</v>
      </c>
      <c r="B46" s="110" t="n">
        <v>41</v>
      </c>
      <c r="C46" s="111" t="s">
        <v>1983</v>
      </c>
      <c r="D46" s="56" t="s">
        <v>4510</v>
      </c>
      <c r="E46" s="54" t="s">
        <v>4511</v>
      </c>
      <c r="F46" s="54" t="s">
        <v>4512</v>
      </c>
      <c r="G46" s="54" t="s">
        <v>4513</v>
      </c>
      <c r="H46" s="54" t="s">
        <v>4514</v>
      </c>
      <c r="I46" s="54" t="s">
        <v>4515</v>
      </c>
      <c r="J46" s="54" t="s">
        <v>4516</v>
      </c>
      <c r="K46" s="54" t="s">
        <v>4517</v>
      </c>
      <c r="L46" s="54" t="s">
        <v>4518</v>
      </c>
      <c r="M46" s="54" t="s">
        <v>4519</v>
      </c>
      <c r="N46" s="55" t="s">
        <v>4520</v>
      </c>
      <c r="O46" s="56" t="s">
        <v>4521</v>
      </c>
      <c r="P46" s="54" t="s">
        <v>4522</v>
      </c>
      <c r="Q46" s="54" t="s">
        <v>4523</v>
      </c>
      <c r="R46" s="54" t="s">
        <v>4524</v>
      </c>
      <c r="S46" s="54" t="s">
        <v>4525</v>
      </c>
      <c r="T46" s="54" t="s">
        <v>4526</v>
      </c>
      <c r="U46" s="54" t="s">
        <v>4527</v>
      </c>
      <c r="V46" s="54" t="s">
        <v>4528</v>
      </c>
      <c r="W46" s="54" t="s">
        <v>4529</v>
      </c>
      <c r="X46" s="54" t="s">
        <v>4530</v>
      </c>
      <c r="Y46" s="112" t="s">
        <v>4531</v>
      </c>
      <c r="Z46" s="113" t="s">
        <v>4532</v>
      </c>
      <c r="AA46" s="110" t="s">
        <v>4533</v>
      </c>
      <c r="AB46" s="112" t="s">
        <v>4534</v>
      </c>
      <c r="AC46" s="112" t="s">
        <v>4535</v>
      </c>
      <c r="AD46" s="112" t="s">
        <v>4536</v>
      </c>
      <c r="AE46" s="112" t="s">
        <v>4537</v>
      </c>
      <c r="AF46" s="112" t="s">
        <v>4538</v>
      </c>
      <c r="AG46" s="112" t="s">
        <v>4539</v>
      </c>
      <c r="AH46" s="113" t="s">
        <v>4540</v>
      </c>
      <c r="AI46" s="110" t="s">
        <v>4541</v>
      </c>
      <c r="AJ46" s="112" t="s">
        <v>4542</v>
      </c>
      <c r="AK46" s="112" t="s">
        <v>4543</v>
      </c>
      <c r="AL46" s="112" t="s">
        <v>4544</v>
      </c>
      <c r="AM46" s="112" t="s">
        <v>4545</v>
      </c>
      <c r="AN46" s="112" t="s">
        <v>4546</v>
      </c>
      <c r="AO46" s="112" t="s">
        <v>4547</v>
      </c>
      <c r="AP46" s="112" t="s">
        <v>4548</v>
      </c>
      <c r="AQ46" s="113" t="s">
        <v>4549</v>
      </c>
      <c r="AR46" s="53"/>
      <c r="AS46" s="112" t="s">
        <v>4550</v>
      </c>
      <c r="AT46" s="112" t="s">
        <v>4551</v>
      </c>
      <c r="AU46" s="112" t="s">
        <v>4552</v>
      </c>
      <c r="AV46" s="112" t="s">
        <v>4553</v>
      </c>
      <c r="AW46" s="113" t="s">
        <v>4554</v>
      </c>
      <c r="AX46" s="110" t="s">
        <v>4555</v>
      </c>
      <c r="AY46" s="113" t="s">
        <v>4556</v>
      </c>
      <c r="BA46" s="389" t="n">
        <v>33</v>
      </c>
      <c r="BB46" s="390" t="s">
        <v>2031</v>
      </c>
    </row>
    <row r="47" customFormat="false" ht="18" hidden="false" customHeight="true" outlineLevel="0" collapsed="false">
      <c r="A47" s="109"/>
      <c r="B47" s="60" t="n">
        <v>42</v>
      </c>
      <c r="C47" s="63" t="s">
        <v>2032</v>
      </c>
      <c r="D47" s="60" t="s">
        <v>4557</v>
      </c>
      <c r="E47" s="62" t="s">
        <v>4558</v>
      </c>
      <c r="F47" s="62" t="s">
        <v>4559</v>
      </c>
      <c r="G47" s="62" t="s">
        <v>4560</v>
      </c>
      <c r="H47" s="62" t="s">
        <v>4561</v>
      </c>
      <c r="I47" s="62" t="s">
        <v>4562</v>
      </c>
      <c r="J47" s="62" t="s">
        <v>4563</v>
      </c>
      <c r="K47" s="62" t="s">
        <v>4564</v>
      </c>
      <c r="L47" s="62" t="s">
        <v>4565</v>
      </c>
      <c r="M47" s="62" t="s">
        <v>4566</v>
      </c>
      <c r="N47" s="63" t="s">
        <v>4567</v>
      </c>
      <c r="O47" s="60" t="s">
        <v>4568</v>
      </c>
      <c r="P47" s="62" t="s">
        <v>4569</v>
      </c>
      <c r="Q47" s="62" t="s">
        <v>4570</v>
      </c>
      <c r="R47" s="62" t="s">
        <v>4571</v>
      </c>
      <c r="S47" s="62" t="s">
        <v>4572</v>
      </c>
      <c r="T47" s="62" t="s">
        <v>4573</v>
      </c>
      <c r="U47" s="62" t="s">
        <v>4574</v>
      </c>
      <c r="V47" s="62" t="s">
        <v>4575</v>
      </c>
      <c r="W47" s="62" t="s">
        <v>4576</v>
      </c>
      <c r="X47" s="62" t="s">
        <v>4577</v>
      </c>
      <c r="Y47" s="62" t="s">
        <v>4578</v>
      </c>
      <c r="Z47" s="63" t="s">
        <v>4579</v>
      </c>
      <c r="AA47" s="60" t="s">
        <v>4580</v>
      </c>
      <c r="AB47" s="62" t="s">
        <v>4581</v>
      </c>
      <c r="AC47" s="62" t="s">
        <v>4582</v>
      </c>
      <c r="AD47" s="62" t="s">
        <v>4583</v>
      </c>
      <c r="AE47" s="62" t="s">
        <v>4584</v>
      </c>
      <c r="AF47" s="62" t="s">
        <v>4585</v>
      </c>
      <c r="AG47" s="62" t="s">
        <v>4586</v>
      </c>
      <c r="AH47" s="63" t="s">
        <v>4587</v>
      </c>
      <c r="AI47" s="60" t="s">
        <v>4588</v>
      </c>
      <c r="AJ47" s="62" t="s">
        <v>4589</v>
      </c>
      <c r="AK47" s="62" t="s">
        <v>4590</v>
      </c>
      <c r="AL47" s="62" t="s">
        <v>4591</v>
      </c>
      <c r="AM47" s="62" t="s">
        <v>4592</v>
      </c>
      <c r="AN47" s="62" t="s">
        <v>4593</v>
      </c>
      <c r="AO47" s="62" t="s">
        <v>4594</v>
      </c>
      <c r="AP47" s="62" t="s">
        <v>4595</v>
      </c>
      <c r="AQ47" s="63" t="s">
        <v>4596</v>
      </c>
      <c r="AR47" s="60" t="s">
        <v>4597</v>
      </c>
      <c r="AS47" s="61"/>
      <c r="AT47" s="62" t="s">
        <v>4598</v>
      </c>
      <c r="AU47" s="62" t="s">
        <v>4599</v>
      </c>
      <c r="AV47" s="62" t="s">
        <v>4600</v>
      </c>
      <c r="AW47" s="63" t="s">
        <v>4601</v>
      </c>
      <c r="AX47" s="60" t="s">
        <v>4602</v>
      </c>
      <c r="AY47" s="63" t="s">
        <v>4603</v>
      </c>
      <c r="BA47" s="389" t="n">
        <v>34</v>
      </c>
      <c r="BB47" s="390" t="s">
        <v>2080</v>
      </c>
    </row>
    <row r="48" customFormat="false" ht="18" hidden="false" customHeight="true" outlineLevel="0" collapsed="false">
      <c r="A48" s="109"/>
      <c r="B48" s="64" t="n">
        <v>43</v>
      </c>
      <c r="C48" s="101" t="s">
        <v>48</v>
      </c>
      <c r="D48" s="66" t="s">
        <v>4604</v>
      </c>
      <c r="E48" s="68" t="s">
        <v>4605</v>
      </c>
      <c r="F48" s="68" t="s">
        <v>4606</v>
      </c>
      <c r="G48" s="68" t="s">
        <v>4607</v>
      </c>
      <c r="H48" s="68" t="s">
        <v>4608</v>
      </c>
      <c r="I48" s="68" t="s">
        <v>4609</v>
      </c>
      <c r="J48" s="68" t="s">
        <v>4610</v>
      </c>
      <c r="K48" s="67" t="s">
        <v>4611</v>
      </c>
      <c r="L48" s="68" t="s">
        <v>4612</v>
      </c>
      <c r="M48" s="68" t="s">
        <v>4613</v>
      </c>
      <c r="N48" s="69" t="s">
        <v>4614</v>
      </c>
      <c r="O48" s="66" t="s">
        <v>4615</v>
      </c>
      <c r="P48" s="68" t="s">
        <v>4616</v>
      </c>
      <c r="Q48" s="68" t="s">
        <v>4617</v>
      </c>
      <c r="R48" s="68" t="s">
        <v>4618</v>
      </c>
      <c r="S48" s="68" t="s">
        <v>4619</v>
      </c>
      <c r="T48" s="68" t="s">
        <v>4620</v>
      </c>
      <c r="U48" s="68" t="s">
        <v>4621</v>
      </c>
      <c r="V48" s="68" t="s">
        <v>4622</v>
      </c>
      <c r="W48" s="68" t="s">
        <v>4623</v>
      </c>
      <c r="X48" s="68" t="s">
        <v>4624</v>
      </c>
      <c r="Y48" s="67" t="s">
        <v>4625</v>
      </c>
      <c r="Z48" s="92" t="s">
        <v>4626</v>
      </c>
      <c r="AA48" s="64" t="s">
        <v>4627</v>
      </c>
      <c r="AB48" s="67" t="s">
        <v>4628</v>
      </c>
      <c r="AC48" s="67" t="s">
        <v>4629</v>
      </c>
      <c r="AD48" s="67" t="s">
        <v>4630</v>
      </c>
      <c r="AE48" s="67" t="s">
        <v>4631</v>
      </c>
      <c r="AF48" s="67" t="s">
        <v>4632</v>
      </c>
      <c r="AG48" s="67" t="s">
        <v>4633</v>
      </c>
      <c r="AH48" s="92" t="s">
        <v>4634</v>
      </c>
      <c r="AI48" s="64" t="s">
        <v>4635</v>
      </c>
      <c r="AJ48" s="67" t="s">
        <v>4636</v>
      </c>
      <c r="AK48" s="67" t="s">
        <v>4637</v>
      </c>
      <c r="AL48" s="67" t="s">
        <v>4638</v>
      </c>
      <c r="AM48" s="67" t="s">
        <v>4639</v>
      </c>
      <c r="AN48" s="67" t="s">
        <v>4640</v>
      </c>
      <c r="AO48" s="67" t="s">
        <v>4641</v>
      </c>
      <c r="AP48" s="67" t="s">
        <v>4642</v>
      </c>
      <c r="AQ48" s="92" t="s">
        <v>4643</v>
      </c>
      <c r="AR48" s="64" t="s">
        <v>4644</v>
      </c>
      <c r="AS48" s="67" t="s">
        <v>4645</v>
      </c>
      <c r="AT48" s="61"/>
      <c r="AU48" s="67" t="s">
        <v>4646</v>
      </c>
      <c r="AV48" s="67" t="s">
        <v>4647</v>
      </c>
      <c r="AW48" s="92" t="s">
        <v>4648</v>
      </c>
      <c r="AX48" s="64" t="s">
        <v>4649</v>
      </c>
      <c r="AY48" s="92" t="s">
        <v>4650</v>
      </c>
      <c r="BA48" s="389" t="n">
        <v>35</v>
      </c>
      <c r="BB48" s="390" t="s">
        <v>2128</v>
      </c>
    </row>
    <row r="49" customFormat="false" ht="18" hidden="false" customHeight="true" outlineLevel="0" collapsed="false">
      <c r="A49" s="109"/>
      <c r="B49" s="60" t="n">
        <v>44</v>
      </c>
      <c r="C49" s="63" t="s">
        <v>49</v>
      </c>
      <c r="D49" s="60" t="s">
        <v>4651</v>
      </c>
      <c r="E49" s="62" t="s">
        <v>4652</v>
      </c>
      <c r="F49" s="62" t="s">
        <v>4653</v>
      </c>
      <c r="G49" s="62" t="s">
        <v>4654</v>
      </c>
      <c r="H49" s="62" t="s">
        <v>4655</v>
      </c>
      <c r="I49" s="62" t="s">
        <v>4656</v>
      </c>
      <c r="J49" s="62" t="s">
        <v>4657</v>
      </c>
      <c r="K49" s="62" t="s">
        <v>4658</v>
      </c>
      <c r="L49" s="62" t="s">
        <v>4659</v>
      </c>
      <c r="M49" s="62" t="s">
        <v>4660</v>
      </c>
      <c r="N49" s="63" t="s">
        <v>4661</v>
      </c>
      <c r="O49" s="60" t="s">
        <v>4662</v>
      </c>
      <c r="P49" s="62" t="s">
        <v>4663</v>
      </c>
      <c r="Q49" s="62" t="s">
        <v>4664</v>
      </c>
      <c r="R49" s="62" t="s">
        <v>4665</v>
      </c>
      <c r="S49" s="62" t="s">
        <v>4666</v>
      </c>
      <c r="T49" s="62" t="s">
        <v>4667</v>
      </c>
      <c r="U49" s="62" t="s">
        <v>4668</v>
      </c>
      <c r="V49" s="62" t="s">
        <v>4669</v>
      </c>
      <c r="W49" s="62" t="s">
        <v>4670</v>
      </c>
      <c r="X49" s="62" t="s">
        <v>4671</v>
      </c>
      <c r="Y49" s="62" t="s">
        <v>4672</v>
      </c>
      <c r="Z49" s="63" t="s">
        <v>4673</v>
      </c>
      <c r="AA49" s="60" t="s">
        <v>4674</v>
      </c>
      <c r="AB49" s="62" t="s">
        <v>4675</v>
      </c>
      <c r="AC49" s="62" t="s">
        <v>4676</v>
      </c>
      <c r="AD49" s="62" t="s">
        <v>4677</v>
      </c>
      <c r="AE49" s="62" t="s">
        <v>4678</v>
      </c>
      <c r="AF49" s="62" t="s">
        <v>4679</v>
      </c>
      <c r="AG49" s="62" t="s">
        <v>4680</v>
      </c>
      <c r="AH49" s="63" t="s">
        <v>4681</v>
      </c>
      <c r="AI49" s="60" t="s">
        <v>4682</v>
      </c>
      <c r="AJ49" s="62" t="s">
        <v>4683</v>
      </c>
      <c r="AK49" s="62" t="s">
        <v>4684</v>
      </c>
      <c r="AL49" s="62" t="s">
        <v>4685</v>
      </c>
      <c r="AM49" s="62" t="s">
        <v>4686</v>
      </c>
      <c r="AN49" s="62" t="s">
        <v>4687</v>
      </c>
      <c r="AO49" s="62" t="s">
        <v>4688</v>
      </c>
      <c r="AP49" s="62" t="s">
        <v>4689</v>
      </c>
      <c r="AQ49" s="63" t="s">
        <v>4690</v>
      </c>
      <c r="AR49" s="60" t="s">
        <v>4691</v>
      </c>
      <c r="AS49" s="62" t="s">
        <v>4692</v>
      </c>
      <c r="AT49" s="62" t="s">
        <v>4693</v>
      </c>
      <c r="AU49" s="61"/>
      <c r="AV49" s="62" t="s">
        <v>4694</v>
      </c>
      <c r="AW49" s="63" t="s">
        <v>4695</v>
      </c>
      <c r="AX49" s="60" t="s">
        <v>4696</v>
      </c>
      <c r="AY49" s="63" t="s">
        <v>4697</v>
      </c>
      <c r="BA49" s="389" t="n">
        <v>36</v>
      </c>
      <c r="BB49" s="390" t="s">
        <v>2176</v>
      </c>
    </row>
    <row r="50" customFormat="false" ht="18" hidden="false" customHeight="true" outlineLevel="0" collapsed="false">
      <c r="A50" s="109"/>
      <c r="B50" s="64" t="n">
        <v>45</v>
      </c>
      <c r="C50" s="101" t="s">
        <v>50</v>
      </c>
      <c r="D50" s="66" t="s">
        <v>4698</v>
      </c>
      <c r="E50" s="68" t="s">
        <v>4699</v>
      </c>
      <c r="F50" s="68" t="s">
        <v>4700</v>
      </c>
      <c r="G50" s="68" t="s">
        <v>4701</v>
      </c>
      <c r="H50" s="68" t="s">
        <v>4702</v>
      </c>
      <c r="I50" s="68" t="s">
        <v>4703</v>
      </c>
      <c r="J50" s="68" t="s">
        <v>4704</v>
      </c>
      <c r="K50" s="68" t="s">
        <v>4705</v>
      </c>
      <c r="L50" s="68" t="s">
        <v>4706</v>
      </c>
      <c r="M50" s="68" t="s">
        <v>4707</v>
      </c>
      <c r="N50" s="69" t="s">
        <v>4708</v>
      </c>
      <c r="O50" s="66" t="s">
        <v>4709</v>
      </c>
      <c r="P50" s="68" t="s">
        <v>4710</v>
      </c>
      <c r="Q50" s="68" t="s">
        <v>4711</v>
      </c>
      <c r="R50" s="68" t="s">
        <v>4712</v>
      </c>
      <c r="S50" s="68" t="s">
        <v>4713</v>
      </c>
      <c r="T50" s="68" t="s">
        <v>4714</v>
      </c>
      <c r="U50" s="68" t="s">
        <v>4715</v>
      </c>
      <c r="V50" s="68" t="s">
        <v>4716</v>
      </c>
      <c r="W50" s="68" t="s">
        <v>4717</v>
      </c>
      <c r="X50" s="68" t="s">
        <v>4718</v>
      </c>
      <c r="Y50" s="67" t="s">
        <v>4719</v>
      </c>
      <c r="Z50" s="92" t="s">
        <v>4720</v>
      </c>
      <c r="AA50" s="64" t="s">
        <v>4721</v>
      </c>
      <c r="AB50" s="67" t="s">
        <v>4722</v>
      </c>
      <c r="AC50" s="67" t="s">
        <v>4723</v>
      </c>
      <c r="AD50" s="67" t="s">
        <v>4724</v>
      </c>
      <c r="AE50" s="67" t="s">
        <v>4725</v>
      </c>
      <c r="AF50" s="67" t="s">
        <v>4726</v>
      </c>
      <c r="AG50" s="67" t="s">
        <v>4727</v>
      </c>
      <c r="AH50" s="92" t="s">
        <v>4728</v>
      </c>
      <c r="AI50" s="64" t="s">
        <v>4729</v>
      </c>
      <c r="AJ50" s="67" t="s">
        <v>4730</v>
      </c>
      <c r="AK50" s="67" t="s">
        <v>4731</v>
      </c>
      <c r="AL50" s="67" t="s">
        <v>4732</v>
      </c>
      <c r="AM50" s="67" t="s">
        <v>4733</v>
      </c>
      <c r="AN50" s="67" t="s">
        <v>4734</v>
      </c>
      <c r="AO50" s="67" t="s">
        <v>4735</v>
      </c>
      <c r="AP50" s="67" t="s">
        <v>4736</v>
      </c>
      <c r="AQ50" s="92" t="s">
        <v>4737</v>
      </c>
      <c r="AR50" s="64" t="s">
        <v>4738</v>
      </c>
      <c r="AS50" s="67" t="s">
        <v>4739</v>
      </c>
      <c r="AT50" s="67" t="s">
        <v>4740</v>
      </c>
      <c r="AU50" s="67" t="s">
        <v>4741</v>
      </c>
      <c r="AV50" s="61"/>
      <c r="AW50" s="92" t="s">
        <v>4742</v>
      </c>
      <c r="AX50" s="64" t="s">
        <v>4743</v>
      </c>
      <c r="AY50" s="92" t="s">
        <v>4744</v>
      </c>
      <c r="BA50" s="389" t="n">
        <v>37</v>
      </c>
      <c r="BB50" s="390" t="s">
        <v>2224</v>
      </c>
    </row>
    <row r="51" customFormat="false" ht="18" hidden="false" customHeight="true" outlineLevel="0" collapsed="false">
      <c r="A51" s="109"/>
      <c r="B51" s="105" t="n">
        <v>46</v>
      </c>
      <c r="C51" s="108" t="s">
        <v>51</v>
      </c>
      <c r="D51" s="105" t="s">
        <v>4745</v>
      </c>
      <c r="E51" s="107" t="s">
        <v>4746</v>
      </c>
      <c r="F51" s="107" t="s">
        <v>4747</v>
      </c>
      <c r="G51" s="107" t="s">
        <v>4748</v>
      </c>
      <c r="H51" s="107" t="s">
        <v>4749</v>
      </c>
      <c r="I51" s="107" t="s">
        <v>4750</v>
      </c>
      <c r="J51" s="107" t="s">
        <v>4751</v>
      </c>
      <c r="K51" s="107" t="s">
        <v>4752</v>
      </c>
      <c r="L51" s="107" t="s">
        <v>4753</v>
      </c>
      <c r="M51" s="107" t="s">
        <v>4754</v>
      </c>
      <c r="N51" s="108" t="s">
        <v>4755</v>
      </c>
      <c r="O51" s="105" t="s">
        <v>4756</v>
      </c>
      <c r="P51" s="107" t="s">
        <v>4757</v>
      </c>
      <c r="Q51" s="107" t="s">
        <v>4758</v>
      </c>
      <c r="R51" s="107" t="s">
        <v>4759</v>
      </c>
      <c r="S51" s="107" t="s">
        <v>4760</v>
      </c>
      <c r="T51" s="107" t="s">
        <v>4761</v>
      </c>
      <c r="U51" s="107" t="s">
        <v>4762</v>
      </c>
      <c r="V51" s="107" t="s">
        <v>4763</v>
      </c>
      <c r="W51" s="107" t="s">
        <v>4764</v>
      </c>
      <c r="X51" s="107" t="s">
        <v>4765</v>
      </c>
      <c r="Y51" s="107" t="s">
        <v>4766</v>
      </c>
      <c r="Z51" s="108" t="s">
        <v>4767</v>
      </c>
      <c r="AA51" s="105" t="s">
        <v>4768</v>
      </c>
      <c r="AB51" s="107" t="s">
        <v>4769</v>
      </c>
      <c r="AC51" s="107" t="s">
        <v>4770</v>
      </c>
      <c r="AD51" s="107" t="s">
        <v>4771</v>
      </c>
      <c r="AE51" s="107" t="s">
        <v>4772</v>
      </c>
      <c r="AF51" s="107" t="s">
        <v>4773</v>
      </c>
      <c r="AG51" s="107" t="s">
        <v>4774</v>
      </c>
      <c r="AH51" s="108" t="s">
        <v>4775</v>
      </c>
      <c r="AI51" s="105" t="s">
        <v>4776</v>
      </c>
      <c r="AJ51" s="107" t="s">
        <v>4777</v>
      </c>
      <c r="AK51" s="107" t="s">
        <v>4778</v>
      </c>
      <c r="AL51" s="107" t="s">
        <v>4779</v>
      </c>
      <c r="AM51" s="107" t="s">
        <v>4780</v>
      </c>
      <c r="AN51" s="107" t="s">
        <v>4781</v>
      </c>
      <c r="AO51" s="107" t="s">
        <v>4782</v>
      </c>
      <c r="AP51" s="107" t="s">
        <v>4783</v>
      </c>
      <c r="AQ51" s="108" t="s">
        <v>4784</v>
      </c>
      <c r="AR51" s="105" t="s">
        <v>4785</v>
      </c>
      <c r="AS51" s="107" t="s">
        <v>4786</v>
      </c>
      <c r="AT51" s="107" t="s">
        <v>4787</v>
      </c>
      <c r="AU51" s="107" t="s">
        <v>4788</v>
      </c>
      <c r="AV51" s="107" t="s">
        <v>4789</v>
      </c>
      <c r="AW51" s="98"/>
      <c r="AX51" s="105" t="s">
        <v>4790</v>
      </c>
      <c r="AY51" s="108" t="s">
        <v>4791</v>
      </c>
      <c r="BA51" s="389" t="n">
        <v>38</v>
      </c>
      <c r="BB51" s="390" t="s">
        <v>2272</v>
      </c>
    </row>
    <row r="52" customFormat="false" ht="18" hidden="false" customHeight="true" outlineLevel="0" collapsed="false">
      <c r="A52" s="115" t="s">
        <v>2273</v>
      </c>
      <c r="B52" s="110" t="n">
        <v>47</v>
      </c>
      <c r="C52" s="111" t="s">
        <v>52</v>
      </c>
      <c r="D52" s="56" t="s">
        <v>4792</v>
      </c>
      <c r="E52" s="54" t="s">
        <v>4793</v>
      </c>
      <c r="F52" s="54" t="s">
        <v>4794</v>
      </c>
      <c r="G52" s="54" t="s">
        <v>4795</v>
      </c>
      <c r="H52" s="54" t="s">
        <v>4796</v>
      </c>
      <c r="I52" s="54" t="s">
        <v>4797</v>
      </c>
      <c r="J52" s="54" t="s">
        <v>4798</v>
      </c>
      <c r="K52" s="54" t="s">
        <v>4799</v>
      </c>
      <c r="L52" s="54" t="s">
        <v>4800</v>
      </c>
      <c r="M52" s="54" t="s">
        <v>4801</v>
      </c>
      <c r="N52" s="55" t="s">
        <v>4802</v>
      </c>
      <c r="O52" s="56" t="s">
        <v>4803</v>
      </c>
      <c r="P52" s="54" t="s">
        <v>4804</v>
      </c>
      <c r="Q52" s="54" t="s">
        <v>4805</v>
      </c>
      <c r="R52" s="54" t="s">
        <v>4806</v>
      </c>
      <c r="S52" s="54" t="s">
        <v>4807</v>
      </c>
      <c r="T52" s="54" t="s">
        <v>4808</v>
      </c>
      <c r="U52" s="54" t="s">
        <v>4809</v>
      </c>
      <c r="V52" s="54" t="s">
        <v>4810</v>
      </c>
      <c r="W52" s="54" t="s">
        <v>4811</v>
      </c>
      <c r="X52" s="54" t="s">
        <v>4812</v>
      </c>
      <c r="Y52" s="112" t="s">
        <v>4813</v>
      </c>
      <c r="Z52" s="113" t="s">
        <v>4814</v>
      </c>
      <c r="AA52" s="110" t="s">
        <v>4815</v>
      </c>
      <c r="AB52" s="112" t="s">
        <v>4816</v>
      </c>
      <c r="AC52" s="112" t="s">
        <v>4817</v>
      </c>
      <c r="AD52" s="112" t="s">
        <v>4818</v>
      </c>
      <c r="AE52" s="112" t="s">
        <v>4819</v>
      </c>
      <c r="AF52" s="112" t="s">
        <v>4820</v>
      </c>
      <c r="AG52" s="112" t="s">
        <v>4821</v>
      </c>
      <c r="AH52" s="113" t="s">
        <v>4822</v>
      </c>
      <c r="AI52" s="110" t="s">
        <v>4823</v>
      </c>
      <c r="AJ52" s="112" t="s">
        <v>4824</v>
      </c>
      <c r="AK52" s="112" t="s">
        <v>4825</v>
      </c>
      <c r="AL52" s="112" t="s">
        <v>4826</v>
      </c>
      <c r="AM52" s="112" t="s">
        <v>4827</v>
      </c>
      <c r="AN52" s="112" t="s">
        <v>4828</v>
      </c>
      <c r="AO52" s="112" t="s">
        <v>4829</v>
      </c>
      <c r="AP52" s="112" t="s">
        <v>4830</v>
      </c>
      <c r="AQ52" s="113" t="s">
        <v>4831</v>
      </c>
      <c r="AR52" s="110" t="s">
        <v>4832</v>
      </c>
      <c r="AS52" s="112" t="s">
        <v>4833</v>
      </c>
      <c r="AT52" s="112" t="s">
        <v>4834</v>
      </c>
      <c r="AU52" s="112" t="s">
        <v>4835</v>
      </c>
      <c r="AV52" s="112" t="s">
        <v>4836</v>
      </c>
      <c r="AW52" s="113" t="s">
        <v>4837</v>
      </c>
      <c r="AX52" s="53"/>
      <c r="AY52" s="113" t="s">
        <v>4838</v>
      </c>
      <c r="BA52" s="389" t="n">
        <v>39</v>
      </c>
      <c r="BB52" s="390" t="s">
        <v>2321</v>
      </c>
    </row>
    <row r="53" customFormat="false" ht="18" hidden="false" customHeight="true" outlineLevel="0" collapsed="false">
      <c r="A53" s="115"/>
      <c r="B53" s="105" t="n">
        <v>48</v>
      </c>
      <c r="C53" s="108" t="s">
        <v>53</v>
      </c>
      <c r="D53" s="105" t="s">
        <v>4839</v>
      </c>
      <c r="E53" s="107" t="s">
        <v>4840</v>
      </c>
      <c r="F53" s="107" t="s">
        <v>4841</v>
      </c>
      <c r="G53" s="107" t="s">
        <v>4842</v>
      </c>
      <c r="H53" s="107" t="s">
        <v>4843</v>
      </c>
      <c r="I53" s="107" t="s">
        <v>4844</v>
      </c>
      <c r="J53" s="107" t="s">
        <v>4845</v>
      </c>
      <c r="K53" s="107" t="s">
        <v>4846</v>
      </c>
      <c r="L53" s="107" t="s">
        <v>4847</v>
      </c>
      <c r="M53" s="107" t="s">
        <v>4848</v>
      </c>
      <c r="N53" s="108" t="s">
        <v>4849</v>
      </c>
      <c r="O53" s="105" t="s">
        <v>4850</v>
      </c>
      <c r="P53" s="107" t="s">
        <v>4851</v>
      </c>
      <c r="Q53" s="107" t="s">
        <v>4852</v>
      </c>
      <c r="R53" s="107" t="s">
        <v>4853</v>
      </c>
      <c r="S53" s="107" t="s">
        <v>4854</v>
      </c>
      <c r="T53" s="107" t="s">
        <v>4855</v>
      </c>
      <c r="U53" s="107" t="s">
        <v>4856</v>
      </c>
      <c r="V53" s="107" t="s">
        <v>4857</v>
      </c>
      <c r="W53" s="107" t="s">
        <v>4858</v>
      </c>
      <c r="X53" s="107" t="s">
        <v>4859</v>
      </c>
      <c r="Y53" s="107" t="s">
        <v>4860</v>
      </c>
      <c r="Z53" s="108" t="s">
        <v>4861</v>
      </c>
      <c r="AA53" s="105" t="s">
        <v>4862</v>
      </c>
      <c r="AB53" s="107" t="s">
        <v>4863</v>
      </c>
      <c r="AC53" s="107" t="s">
        <v>4864</v>
      </c>
      <c r="AD53" s="107" t="s">
        <v>4865</v>
      </c>
      <c r="AE53" s="107" t="s">
        <v>4866</v>
      </c>
      <c r="AF53" s="107" t="s">
        <v>4867</v>
      </c>
      <c r="AG53" s="107" t="s">
        <v>4868</v>
      </c>
      <c r="AH53" s="108" t="s">
        <v>4869</v>
      </c>
      <c r="AI53" s="105" t="s">
        <v>4870</v>
      </c>
      <c r="AJ53" s="107" t="s">
        <v>4871</v>
      </c>
      <c r="AK53" s="107" t="s">
        <v>4872</v>
      </c>
      <c r="AL53" s="107" t="s">
        <v>4873</v>
      </c>
      <c r="AM53" s="107" t="s">
        <v>4874</v>
      </c>
      <c r="AN53" s="107" t="s">
        <v>4875</v>
      </c>
      <c r="AO53" s="107" t="s">
        <v>4876</v>
      </c>
      <c r="AP53" s="107" t="s">
        <v>4877</v>
      </c>
      <c r="AQ53" s="108" t="s">
        <v>4878</v>
      </c>
      <c r="AR53" s="105" t="s">
        <v>4879</v>
      </c>
      <c r="AS53" s="107" t="s">
        <v>4880</v>
      </c>
      <c r="AT53" s="107" t="s">
        <v>4881</v>
      </c>
      <c r="AU53" s="107" t="s">
        <v>4882</v>
      </c>
      <c r="AV53" s="107" t="s">
        <v>4883</v>
      </c>
      <c r="AW53" s="108" t="s">
        <v>4884</v>
      </c>
      <c r="AX53" s="105" t="s">
        <v>4885</v>
      </c>
      <c r="AY53" s="98"/>
      <c r="BA53" s="389" t="n">
        <v>40</v>
      </c>
      <c r="BB53" s="390" t="s">
        <v>2369</v>
      </c>
    </row>
    <row r="55" customFormat="false" ht="3" hidden="false" customHeight="true" outlineLevel="0" collapsed="false"/>
    <row r="56" customFormat="false" ht="11.25" hidden="false" customHeight="true" outlineLevel="0" collapsed="false">
      <c r="C56" s="1" t="s">
        <v>2370</v>
      </c>
      <c r="F56" s="1" t="s">
        <v>2371</v>
      </c>
      <c r="J56" s="1" t="s">
        <v>2372</v>
      </c>
      <c r="Z56" s="1" t="s">
        <v>2373</v>
      </c>
      <c r="AE56" s="1" t="s">
        <v>2374</v>
      </c>
      <c r="BA56" s="116" t="s">
        <v>2375</v>
      </c>
      <c r="BB56" s="116"/>
    </row>
  </sheetData>
  <mergeCells count="14">
    <mergeCell ref="D2:N3"/>
    <mergeCell ref="O2:Z3"/>
    <mergeCell ref="AA2:AH3"/>
    <mergeCell ref="AI2:AQ3"/>
    <mergeCell ref="AR2:AW3"/>
    <mergeCell ref="AX2:AY3"/>
    <mergeCell ref="A6:A16"/>
    <mergeCell ref="BA13:BB13"/>
    <mergeCell ref="A17:A28"/>
    <mergeCell ref="A29:A36"/>
    <mergeCell ref="A37:A45"/>
    <mergeCell ref="A46:A51"/>
    <mergeCell ref="A52:A53"/>
    <mergeCell ref="BA56:BB56"/>
  </mergeCells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G56"/>
  <sheetViews>
    <sheetView showFormulas="false" showGridLines="false" showRowColHeaders="true" showZeros="true" rightToLeft="false" tabSelected="false" showOutlineSymbols="true" defaultGridColor="true" view="normal" topLeftCell="A2" colorId="64" zoomScale="80" zoomScaleNormal="80" zoomScalePageLayoutView="100" workbookViewId="0">
      <selection pane="topLeft" activeCell="D6" activeCellId="0" sqref="D6"/>
    </sheetView>
  </sheetViews>
  <sheetFormatPr defaultColWidth="11.42578125" defaultRowHeight="12.75" zeroHeight="false" outlineLevelRow="0" outlineLevelCol="0"/>
  <cols>
    <col collapsed="false" customWidth="true" hidden="false" outlineLevel="0" max="1" min="1" style="1" width="6"/>
    <col collapsed="false" customWidth="true" hidden="false" outlineLevel="0" max="2" min="2" style="1" width="3"/>
    <col collapsed="false" customWidth="true" hidden="false" outlineLevel="0" max="3" min="3" style="1" width="15"/>
    <col collapsed="false" customWidth="true" hidden="false" outlineLevel="0" max="52" min="4" style="1" width="4.71"/>
    <col collapsed="false" customWidth="true" hidden="false" outlineLevel="0" max="53" min="53" style="1" width="3.57"/>
    <col collapsed="false" customWidth="true" hidden="false" outlineLevel="0" max="54" min="54" style="1" width="37.29"/>
    <col collapsed="false" customWidth="true" hidden="false" outlineLevel="0" max="60" min="55" style="1" width="4.71"/>
    <col collapsed="false" customWidth="true" hidden="false" outlineLevel="0" max="61" min="61" style="1" width="3.29"/>
    <col collapsed="false" customWidth="true" hidden="false" outlineLevel="0" max="62" min="62" style="1" width="30.85"/>
    <col collapsed="false" customWidth="true" hidden="false" outlineLevel="0" max="63" min="63" style="1" width="0.57"/>
    <col collapsed="false" customWidth="false" hidden="false" outlineLevel="0" max="16384" min="64" style="1" width="11.43"/>
  </cols>
  <sheetData>
    <row r="1" s="2" customFormat="true" ht="13.5" hidden="false" customHeight="false" outlineLevel="0" collapsed="false"/>
    <row r="2" customFormat="false" ht="12.75" hidden="false" customHeight="true" outlineLevel="0" collapsed="false">
      <c r="D2" s="3" t="s">
        <v>0</v>
      </c>
      <c r="E2" s="3"/>
      <c r="F2" s="3"/>
      <c r="G2" s="3"/>
      <c r="H2" s="3"/>
      <c r="I2" s="3"/>
      <c r="J2" s="3"/>
      <c r="K2" s="3"/>
      <c r="L2" s="3"/>
      <c r="M2" s="3"/>
      <c r="N2" s="3"/>
      <c r="O2" s="4" t="s">
        <v>1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5" t="s">
        <v>2</v>
      </c>
      <c r="AB2" s="5"/>
      <c r="AC2" s="5"/>
      <c r="AD2" s="5"/>
      <c r="AE2" s="5"/>
      <c r="AF2" s="5"/>
      <c r="AG2" s="5"/>
      <c r="AH2" s="5"/>
      <c r="AI2" s="6" t="s">
        <v>3</v>
      </c>
      <c r="AJ2" s="6"/>
      <c r="AK2" s="6"/>
      <c r="AL2" s="6"/>
      <c r="AM2" s="6"/>
      <c r="AN2" s="6"/>
      <c r="AO2" s="6"/>
      <c r="AP2" s="6"/>
      <c r="AQ2" s="6"/>
      <c r="AR2" s="7" t="s">
        <v>2626</v>
      </c>
      <c r="AS2" s="7"/>
      <c r="AT2" s="7"/>
      <c r="AU2" s="7"/>
      <c r="AV2" s="7"/>
      <c r="AW2" s="7"/>
      <c r="AX2" s="8" t="s">
        <v>5</v>
      </c>
      <c r="AY2" s="8"/>
      <c r="BA2" s="9"/>
      <c r="BB2" s="10"/>
    </row>
    <row r="3" customFormat="false" ht="13.5" hidden="false" customHeight="true" outlineLevel="0" collapsed="false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5"/>
      <c r="AB3" s="5"/>
      <c r="AC3" s="5"/>
      <c r="AD3" s="5"/>
      <c r="AE3" s="5"/>
      <c r="AF3" s="5"/>
      <c r="AG3" s="5"/>
      <c r="AH3" s="5"/>
      <c r="AI3" s="6"/>
      <c r="AJ3" s="6"/>
      <c r="AK3" s="6"/>
      <c r="AL3" s="6"/>
      <c r="AM3" s="6"/>
      <c r="AN3" s="6"/>
      <c r="AO3" s="6"/>
      <c r="AP3" s="6"/>
      <c r="AQ3" s="6"/>
      <c r="AR3" s="7"/>
      <c r="AS3" s="7"/>
      <c r="AT3" s="7"/>
      <c r="AU3" s="7"/>
      <c r="AV3" s="7"/>
      <c r="AW3" s="7"/>
      <c r="AX3" s="8"/>
      <c r="AY3" s="8"/>
      <c r="BA3" s="9"/>
      <c r="BB3" s="10"/>
    </row>
    <row r="4" customFormat="false" ht="65.25" hidden="false" customHeight="true" outlineLevel="0" collapsed="false">
      <c r="B4" s="11"/>
      <c r="C4" s="12"/>
      <c r="D4" s="13" t="s">
        <v>6</v>
      </c>
      <c r="E4" s="14" t="s">
        <v>7</v>
      </c>
      <c r="F4" s="15" t="s">
        <v>8</v>
      </c>
      <c r="G4" s="14" t="s">
        <v>9</v>
      </c>
      <c r="H4" s="15" t="s">
        <v>10</v>
      </c>
      <c r="I4" s="14" t="s">
        <v>11</v>
      </c>
      <c r="J4" s="15" t="s">
        <v>12</v>
      </c>
      <c r="K4" s="14" t="s">
        <v>13</v>
      </c>
      <c r="L4" s="15" t="s">
        <v>14</v>
      </c>
      <c r="M4" s="14" t="s">
        <v>15</v>
      </c>
      <c r="N4" s="16" t="s">
        <v>16</v>
      </c>
      <c r="O4" s="17" t="s">
        <v>17</v>
      </c>
      <c r="P4" s="15" t="s">
        <v>18</v>
      </c>
      <c r="Q4" s="18" t="s">
        <v>19</v>
      </c>
      <c r="R4" s="15" t="s">
        <v>20</v>
      </c>
      <c r="S4" s="18" t="s">
        <v>21</v>
      </c>
      <c r="T4" s="19" t="s">
        <v>22</v>
      </c>
      <c r="U4" s="14" t="s">
        <v>23</v>
      </c>
      <c r="V4" s="15" t="s">
        <v>24</v>
      </c>
      <c r="W4" s="14" t="s">
        <v>25</v>
      </c>
      <c r="X4" s="15" t="s">
        <v>26</v>
      </c>
      <c r="Y4" s="14" t="s">
        <v>27</v>
      </c>
      <c r="Z4" s="16" t="s">
        <v>28</v>
      </c>
      <c r="AA4" s="21" t="s">
        <v>29</v>
      </c>
      <c r="AB4" s="15" t="s">
        <v>30</v>
      </c>
      <c r="AC4" s="14" t="s">
        <v>31</v>
      </c>
      <c r="AD4" s="15" t="s">
        <v>32</v>
      </c>
      <c r="AE4" s="14" t="s">
        <v>33</v>
      </c>
      <c r="AF4" s="15" t="s">
        <v>34</v>
      </c>
      <c r="AG4" s="14" t="s">
        <v>35</v>
      </c>
      <c r="AH4" s="22" t="s">
        <v>36</v>
      </c>
      <c r="AI4" s="17" t="s">
        <v>37</v>
      </c>
      <c r="AJ4" s="15" t="s">
        <v>38</v>
      </c>
      <c r="AK4" s="17" t="s">
        <v>39</v>
      </c>
      <c r="AL4" s="15" t="s">
        <v>40</v>
      </c>
      <c r="AM4" s="18" t="s">
        <v>41</v>
      </c>
      <c r="AN4" s="15" t="s">
        <v>42</v>
      </c>
      <c r="AO4" s="14" t="s">
        <v>43</v>
      </c>
      <c r="AP4" s="15" t="s">
        <v>44</v>
      </c>
      <c r="AQ4" s="18" t="s">
        <v>45</v>
      </c>
      <c r="AR4" s="23" t="s">
        <v>46</v>
      </c>
      <c r="AS4" s="14" t="s">
        <v>47</v>
      </c>
      <c r="AT4" s="15" t="s">
        <v>48</v>
      </c>
      <c r="AU4" s="14" t="s">
        <v>49</v>
      </c>
      <c r="AV4" s="15" t="s">
        <v>50</v>
      </c>
      <c r="AW4" s="24" t="s">
        <v>51</v>
      </c>
      <c r="AX4" s="23" t="s">
        <v>52</v>
      </c>
      <c r="AY4" s="25" t="s">
        <v>53</v>
      </c>
      <c r="BA4" s="9"/>
      <c r="BB4" s="10"/>
    </row>
    <row r="5" customFormat="false" ht="13.5" hidden="false" customHeight="true" outlineLevel="0" collapsed="false">
      <c r="B5" s="26"/>
      <c r="C5" s="27"/>
      <c r="D5" s="28" t="n">
        <v>1</v>
      </c>
      <c r="E5" s="29" t="n">
        <v>2</v>
      </c>
      <c r="F5" s="30" t="n">
        <v>3</v>
      </c>
      <c r="G5" s="29" t="n">
        <v>4</v>
      </c>
      <c r="H5" s="30" t="n">
        <v>5</v>
      </c>
      <c r="I5" s="29" t="n">
        <v>6</v>
      </c>
      <c r="J5" s="30" t="n">
        <v>7</v>
      </c>
      <c r="K5" s="29" t="n">
        <v>8</v>
      </c>
      <c r="L5" s="30" t="n">
        <v>9</v>
      </c>
      <c r="M5" s="29" t="n">
        <v>10</v>
      </c>
      <c r="N5" s="31" t="n">
        <v>11</v>
      </c>
      <c r="O5" s="32" t="n">
        <v>12</v>
      </c>
      <c r="P5" s="33" t="n">
        <v>13</v>
      </c>
      <c r="Q5" s="29" t="n">
        <v>14</v>
      </c>
      <c r="R5" s="33" t="n">
        <v>15</v>
      </c>
      <c r="S5" s="29" t="n">
        <v>16</v>
      </c>
      <c r="T5" s="33" t="n">
        <v>17</v>
      </c>
      <c r="U5" s="29" t="n">
        <v>18</v>
      </c>
      <c r="V5" s="33" t="n">
        <v>19</v>
      </c>
      <c r="W5" s="29" t="n">
        <v>20</v>
      </c>
      <c r="X5" s="33" t="n">
        <v>21</v>
      </c>
      <c r="Y5" s="29" t="n">
        <v>22</v>
      </c>
      <c r="Z5" s="35" t="n">
        <v>23</v>
      </c>
      <c r="AA5" s="36" t="n">
        <v>24</v>
      </c>
      <c r="AB5" s="37" t="n">
        <v>25</v>
      </c>
      <c r="AC5" s="29" t="n">
        <v>26</v>
      </c>
      <c r="AD5" s="37" t="n">
        <v>27</v>
      </c>
      <c r="AE5" s="29" t="n">
        <v>28</v>
      </c>
      <c r="AF5" s="37" t="n">
        <v>29</v>
      </c>
      <c r="AG5" s="29" t="n">
        <v>30</v>
      </c>
      <c r="AH5" s="38" t="n">
        <v>31</v>
      </c>
      <c r="AI5" s="32" t="n">
        <v>32</v>
      </c>
      <c r="AJ5" s="37" t="n">
        <v>33</v>
      </c>
      <c r="AK5" s="32" t="n">
        <v>34</v>
      </c>
      <c r="AL5" s="39" t="n">
        <v>35</v>
      </c>
      <c r="AM5" s="29" t="n">
        <v>36</v>
      </c>
      <c r="AN5" s="39" t="n">
        <v>37</v>
      </c>
      <c r="AO5" s="32" t="n">
        <v>38</v>
      </c>
      <c r="AP5" s="37" t="n">
        <v>39</v>
      </c>
      <c r="AQ5" s="40" t="n">
        <v>40</v>
      </c>
      <c r="AR5" s="41" t="n">
        <v>41</v>
      </c>
      <c r="AS5" s="42" t="n">
        <v>42</v>
      </c>
      <c r="AT5" s="43" t="n">
        <v>43</v>
      </c>
      <c r="AU5" s="44" t="n">
        <v>44</v>
      </c>
      <c r="AV5" s="45" t="n">
        <v>45</v>
      </c>
      <c r="AW5" s="46" t="n">
        <v>46</v>
      </c>
      <c r="AX5" s="41" t="n">
        <v>47</v>
      </c>
      <c r="AY5" s="47" t="n">
        <v>48</v>
      </c>
      <c r="AZ5" s="48" t="n">
        <v>5</v>
      </c>
      <c r="BA5" s="9"/>
      <c r="BB5" s="49"/>
    </row>
    <row r="6" customFormat="false" ht="18" hidden="false" customHeight="true" outlineLevel="0" collapsed="false">
      <c r="A6" s="50" t="s">
        <v>0</v>
      </c>
      <c r="B6" s="51" t="n">
        <v>1</v>
      </c>
      <c r="C6" s="52" t="s">
        <v>6</v>
      </c>
      <c r="D6" s="53"/>
      <c r="E6" s="54" t="s">
        <v>54</v>
      </c>
      <c r="F6" s="54" t="s">
        <v>55</v>
      </c>
      <c r="G6" s="54" t="s">
        <v>56</v>
      </c>
      <c r="H6" s="54" t="s">
        <v>57</v>
      </c>
      <c r="I6" s="54" t="s">
        <v>58</v>
      </c>
      <c r="J6" s="54" t="s">
        <v>59</v>
      </c>
      <c r="K6" s="54" t="s">
        <v>60</v>
      </c>
      <c r="L6" s="54" t="s">
        <v>61</v>
      </c>
      <c r="M6" s="54" t="s">
        <v>62</v>
      </c>
      <c r="N6" s="55" t="s">
        <v>63</v>
      </c>
      <c r="O6" s="56" t="s">
        <v>64</v>
      </c>
      <c r="P6" s="54" t="s">
        <v>65</v>
      </c>
      <c r="Q6" s="54" t="s">
        <v>66</v>
      </c>
      <c r="R6" s="54" t="s">
        <v>67</v>
      </c>
      <c r="S6" s="54" t="s">
        <v>68</v>
      </c>
      <c r="T6" s="54" t="s">
        <v>69</v>
      </c>
      <c r="U6" s="54" t="s">
        <v>70</v>
      </c>
      <c r="V6" s="54" t="s">
        <v>71</v>
      </c>
      <c r="W6" s="54" t="s">
        <v>72</v>
      </c>
      <c r="X6" s="54" t="s">
        <v>73</v>
      </c>
      <c r="Y6" s="54" t="s">
        <v>74</v>
      </c>
      <c r="Z6" s="55" t="s">
        <v>75</v>
      </c>
      <c r="AA6" s="56" t="s">
        <v>76</v>
      </c>
      <c r="AB6" s="54" t="s">
        <v>77</v>
      </c>
      <c r="AC6" s="54" t="s">
        <v>78</v>
      </c>
      <c r="AD6" s="54" t="s">
        <v>79</v>
      </c>
      <c r="AE6" s="54" t="s">
        <v>80</v>
      </c>
      <c r="AF6" s="54" t="s">
        <v>81</v>
      </c>
      <c r="AG6" s="54" t="s">
        <v>82</v>
      </c>
      <c r="AH6" s="55" t="s">
        <v>83</v>
      </c>
      <c r="AI6" s="56" t="s">
        <v>84</v>
      </c>
      <c r="AJ6" s="54" t="s">
        <v>85</v>
      </c>
      <c r="AK6" s="54" t="s">
        <v>86</v>
      </c>
      <c r="AL6" s="54" t="s">
        <v>87</v>
      </c>
      <c r="AM6" s="54" t="s">
        <v>88</v>
      </c>
      <c r="AN6" s="54" t="s">
        <v>89</v>
      </c>
      <c r="AO6" s="54" t="s">
        <v>90</v>
      </c>
      <c r="AP6" s="54" t="s">
        <v>91</v>
      </c>
      <c r="AQ6" s="55" t="s">
        <v>92</v>
      </c>
      <c r="AR6" s="56" t="s">
        <v>93</v>
      </c>
      <c r="AS6" s="54" t="s">
        <v>94</v>
      </c>
      <c r="AT6" s="54" t="s">
        <v>95</v>
      </c>
      <c r="AU6" s="54" t="s">
        <v>96</v>
      </c>
      <c r="AV6" s="54" t="s">
        <v>97</v>
      </c>
      <c r="AW6" s="55" t="s">
        <v>98</v>
      </c>
      <c r="AX6" s="56" t="s">
        <v>99</v>
      </c>
      <c r="AY6" s="55" t="s">
        <v>100</v>
      </c>
      <c r="AZ6" s="57" t="n">
        <v>19</v>
      </c>
      <c r="BA6" s="9"/>
      <c r="BB6" s="9"/>
    </row>
    <row r="7" customFormat="false" ht="18" hidden="false" customHeight="true" outlineLevel="0" collapsed="false">
      <c r="A7" s="50"/>
      <c r="B7" s="58" t="n">
        <v>2</v>
      </c>
      <c r="C7" s="59" t="s">
        <v>7</v>
      </c>
      <c r="D7" s="60" t="s">
        <v>101</v>
      </c>
      <c r="E7" s="61"/>
      <c r="F7" s="62" t="s">
        <v>102</v>
      </c>
      <c r="G7" s="62" t="s">
        <v>103</v>
      </c>
      <c r="H7" s="62" t="s">
        <v>104</v>
      </c>
      <c r="I7" s="62" t="s">
        <v>105</v>
      </c>
      <c r="J7" s="62" t="s">
        <v>106</v>
      </c>
      <c r="K7" s="62" t="s">
        <v>107</v>
      </c>
      <c r="L7" s="62" t="s">
        <v>108</v>
      </c>
      <c r="M7" s="62" t="s">
        <v>109</v>
      </c>
      <c r="N7" s="63" t="s">
        <v>110</v>
      </c>
      <c r="O7" s="60" t="s">
        <v>111</v>
      </c>
      <c r="P7" s="62" t="s">
        <v>112</v>
      </c>
      <c r="Q7" s="62" t="s">
        <v>113</v>
      </c>
      <c r="R7" s="62" t="s">
        <v>114</v>
      </c>
      <c r="S7" s="62" t="s">
        <v>115</v>
      </c>
      <c r="T7" s="62" t="s">
        <v>116</v>
      </c>
      <c r="U7" s="62" t="s">
        <v>117</v>
      </c>
      <c r="V7" s="62" t="s">
        <v>118</v>
      </c>
      <c r="W7" s="62" t="s">
        <v>119</v>
      </c>
      <c r="X7" s="62" t="s">
        <v>120</v>
      </c>
      <c r="Y7" s="62" t="s">
        <v>121</v>
      </c>
      <c r="Z7" s="63" t="s">
        <v>122</v>
      </c>
      <c r="AA7" s="60" t="s">
        <v>123</v>
      </c>
      <c r="AB7" s="62" t="s">
        <v>124</v>
      </c>
      <c r="AC7" s="62" t="s">
        <v>125</v>
      </c>
      <c r="AD7" s="62" t="s">
        <v>126</v>
      </c>
      <c r="AE7" s="62" t="s">
        <v>127</v>
      </c>
      <c r="AF7" s="62" t="s">
        <v>128</v>
      </c>
      <c r="AG7" s="62" t="s">
        <v>129</v>
      </c>
      <c r="AH7" s="63" t="s">
        <v>130</v>
      </c>
      <c r="AI7" s="60" t="s">
        <v>131</v>
      </c>
      <c r="AJ7" s="62" t="s">
        <v>132</v>
      </c>
      <c r="AK7" s="62" t="s">
        <v>133</v>
      </c>
      <c r="AL7" s="62" t="s">
        <v>134</v>
      </c>
      <c r="AM7" s="62" t="s">
        <v>135</v>
      </c>
      <c r="AN7" s="62" t="s">
        <v>136</v>
      </c>
      <c r="AO7" s="62" t="s">
        <v>137</v>
      </c>
      <c r="AP7" s="62" t="s">
        <v>138</v>
      </c>
      <c r="AQ7" s="63" t="s">
        <v>139</v>
      </c>
      <c r="AR7" s="60" t="s">
        <v>140</v>
      </c>
      <c r="AS7" s="62" t="s">
        <v>141</v>
      </c>
      <c r="AT7" s="62" t="s">
        <v>142</v>
      </c>
      <c r="AU7" s="62" t="s">
        <v>143</v>
      </c>
      <c r="AV7" s="62" t="s">
        <v>144</v>
      </c>
      <c r="AW7" s="63" t="s">
        <v>145</v>
      </c>
      <c r="AX7" s="60" t="s">
        <v>146</v>
      </c>
      <c r="AY7" s="63" t="s">
        <v>147</v>
      </c>
      <c r="AZ7" s="57" t="n">
        <v>40</v>
      </c>
      <c r="BA7" s="9"/>
      <c r="BB7" s="9"/>
    </row>
    <row r="8" customFormat="false" ht="18" hidden="false" customHeight="true" outlineLevel="0" collapsed="false">
      <c r="A8" s="50"/>
      <c r="B8" s="64" t="n">
        <v>3</v>
      </c>
      <c r="C8" s="65" t="s">
        <v>148</v>
      </c>
      <c r="D8" s="66" t="s">
        <v>149</v>
      </c>
      <c r="E8" s="67" t="s">
        <v>150</v>
      </c>
      <c r="F8" s="61"/>
      <c r="G8" s="67" t="s">
        <v>151</v>
      </c>
      <c r="H8" s="68" t="s">
        <v>152</v>
      </c>
      <c r="I8" s="67" t="s">
        <v>153</v>
      </c>
      <c r="J8" s="68" t="s">
        <v>154</v>
      </c>
      <c r="K8" s="67" t="s">
        <v>155</v>
      </c>
      <c r="L8" s="68" t="s">
        <v>156</v>
      </c>
      <c r="M8" s="67" t="s">
        <v>157</v>
      </c>
      <c r="N8" s="69" t="s">
        <v>158</v>
      </c>
      <c r="O8" s="66" t="s">
        <v>159</v>
      </c>
      <c r="P8" s="68" t="s">
        <v>160</v>
      </c>
      <c r="Q8" s="68" t="s">
        <v>161</v>
      </c>
      <c r="R8" s="68" t="s">
        <v>162</v>
      </c>
      <c r="S8" s="68" t="s">
        <v>163</v>
      </c>
      <c r="T8" s="68" t="s">
        <v>164</v>
      </c>
      <c r="U8" s="68" t="s">
        <v>165</v>
      </c>
      <c r="V8" s="68" t="s">
        <v>166</v>
      </c>
      <c r="W8" s="68" t="s">
        <v>167</v>
      </c>
      <c r="X8" s="68" t="s">
        <v>168</v>
      </c>
      <c r="Y8" s="68" t="s">
        <v>169</v>
      </c>
      <c r="Z8" s="69" t="s">
        <v>170</v>
      </c>
      <c r="AA8" s="66" t="s">
        <v>171</v>
      </c>
      <c r="AB8" s="68" t="s">
        <v>172</v>
      </c>
      <c r="AC8" s="68" t="s">
        <v>173</v>
      </c>
      <c r="AD8" s="68" t="s">
        <v>174</v>
      </c>
      <c r="AE8" s="68" t="s">
        <v>175</v>
      </c>
      <c r="AF8" s="68" t="s">
        <v>176</v>
      </c>
      <c r="AG8" s="68" t="s">
        <v>177</v>
      </c>
      <c r="AH8" s="69" t="s">
        <v>178</v>
      </c>
      <c r="AI8" s="66" t="s">
        <v>179</v>
      </c>
      <c r="AJ8" s="68" t="s">
        <v>180</v>
      </c>
      <c r="AK8" s="68" t="s">
        <v>181</v>
      </c>
      <c r="AL8" s="68" t="s">
        <v>182</v>
      </c>
      <c r="AM8" s="68" t="s">
        <v>183</v>
      </c>
      <c r="AN8" s="68" t="s">
        <v>184</v>
      </c>
      <c r="AO8" s="68" t="s">
        <v>185</v>
      </c>
      <c r="AP8" s="68" t="s">
        <v>186</v>
      </c>
      <c r="AQ8" s="69" t="s">
        <v>187</v>
      </c>
      <c r="AR8" s="66" t="s">
        <v>188</v>
      </c>
      <c r="AS8" s="68" t="s">
        <v>189</v>
      </c>
      <c r="AT8" s="68" t="s">
        <v>190</v>
      </c>
      <c r="AU8" s="68" t="s">
        <v>191</v>
      </c>
      <c r="AV8" s="68" t="s">
        <v>192</v>
      </c>
      <c r="AW8" s="69" t="s">
        <v>193</v>
      </c>
      <c r="AX8" s="66" t="s">
        <v>194</v>
      </c>
      <c r="AY8" s="69" t="s">
        <v>195</v>
      </c>
      <c r="AZ8" s="57" t="n">
        <v>16</v>
      </c>
      <c r="BA8" s="9"/>
      <c r="BB8" s="9"/>
    </row>
    <row r="9" customFormat="false" ht="18" hidden="false" customHeight="true" outlineLevel="0" collapsed="false">
      <c r="A9" s="50"/>
      <c r="B9" s="60" t="n">
        <v>4</v>
      </c>
      <c r="C9" s="59" t="s">
        <v>196</v>
      </c>
      <c r="D9" s="60" t="s">
        <v>197</v>
      </c>
      <c r="E9" s="62" t="s">
        <v>198</v>
      </c>
      <c r="F9" s="62" t="s">
        <v>199</v>
      </c>
      <c r="G9" s="61"/>
      <c r="H9" s="62" t="s">
        <v>200</v>
      </c>
      <c r="I9" s="62" t="s">
        <v>201</v>
      </c>
      <c r="J9" s="62" t="s">
        <v>202</v>
      </c>
      <c r="K9" s="62" t="s">
        <v>203</v>
      </c>
      <c r="L9" s="62" t="s">
        <v>204</v>
      </c>
      <c r="M9" s="62" t="s">
        <v>205</v>
      </c>
      <c r="N9" s="63" t="s">
        <v>206</v>
      </c>
      <c r="O9" s="60" t="s">
        <v>207</v>
      </c>
      <c r="P9" s="62" t="s">
        <v>208</v>
      </c>
      <c r="Q9" s="62" t="s">
        <v>209</v>
      </c>
      <c r="R9" s="62" t="s">
        <v>210</v>
      </c>
      <c r="S9" s="62" t="s">
        <v>211</v>
      </c>
      <c r="T9" s="62" t="s">
        <v>212</v>
      </c>
      <c r="U9" s="62" t="s">
        <v>213</v>
      </c>
      <c r="V9" s="62" t="s">
        <v>214</v>
      </c>
      <c r="W9" s="62" t="s">
        <v>215</v>
      </c>
      <c r="X9" s="62" t="s">
        <v>216</v>
      </c>
      <c r="Y9" s="62" t="s">
        <v>217</v>
      </c>
      <c r="Z9" s="63" t="s">
        <v>218</v>
      </c>
      <c r="AA9" s="60" t="s">
        <v>219</v>
      </c>
      <c r="AB9" s="62" t="s">
        <v>220</v>
      </c>
      <c r="AC9" s="62" t="s">
        <v>221</v>
      </c>
      <c r="AD9" s="62" t="s">
        <v>222</v>
      </c>
      <c r="AE9" s="62" t="s">
        <v>223</v>
      </c>
      <c r="AF9" s="62" t="s">
        <v>224</v>
      </c>
      <c r="AG9" s="62" t="s">
        <v>225</v>
      </c>
      <c r="AH9" s="63" t="s">
        <v>226</v>
      </c>
      <c r="AI9" s="60" t="s">
        <v>227</v>
      </c>
      <c r="AJ9" s="62" t="s">
        <v>228</v>
      </c>
      <c r="AK9" s="62" t="s">
        <v>229</v>
      </c>
      <c r="AL9" s="62" t="s">
        <v>230</v>
      </c>
      <c r="AM9" s="62" t="s">
        <v>231</v>
      </c>
      <c r="AN9" s="62" t="s">
        <v>232</v>
      </c>
      <c r="AO9" s="62" t="s">
        <v>233</v>
      </c>
      <c r="AP9" s="62" t="s">
        <v>234</v>
      </c>
      <c r="AQ9" s="63" t="s">
        <v>235</v>
      </c>
      <c r="AR9" s="60" t="s">
        <v>236</v>
      </c>
      <c r="AS9" s="62" t="s">
        <v>237</v>
      </c>
      <c r="AT9" s="62" t="s">
        <v>238</v>
      </c>
      <c r="AU9" s="62" t="s">
        <v>239</v>
      </c>
      <c r="AV9" s="62" t="s">
        <v>240</v>
      </c>
      <c r="AW9" s="63" t="s">
        <v>241</v>
      </c>
      <c r="AX9" s="60" t="s">
        <v>242</v>
      </c>
      <c r="AY9" s="63" t="s">
        <v>243</v>
      </c>
      <c r="AZ9" s="57" t="n">
        <v>38</v>
      </c>
      <c r="BA9" s="9"/>
      <c r="BB9" s="9"/>
    </row>
    <row r="10" customFormat="false" ht="18" hidden="false" customHeight="true" outlineLevel="0" collapsed="false">
      <c r="A10" s="50"/>
      <c r="B10" s="64" t="n">
        <v>5</v>
      </c>
      <c r="C10" s="65" t="s">
        <v>2815</v>
      </c>
      <c r="D10" s="66" t="s">
        <v>244</v>
      </c>
      <c r="E10" s="67" t="s">
        <v>245</v>
      </c>
      <c r="F10" s="68" t="s">
        <v>246</v>
      </c>
      <c r="G10" s="67" t="s">
        <v>247</v>
      </c>
      <c r="H10" s="61"/>
      <c r="I10" s="67" t="s">
        <v>248</v>
      </c>
      <c r="J10" s="68" t="s">
        <v>249</v>
      </c>
      <c r="K10" s="67" t="s">
        <v>250</v>
      </c>
      <c r="L10" s="68" t="s">
        <v>251</v>
      </c>
      <c r="M10" s="67" t="s">
        <v>252</v>
      </c>
      <c r="N10" s="69" t="s">
        <v>253</v>
      </c>
      <c r="O10" s="66" t="s">
        <v>254</v>
      </c>
      <c r="P10" s="68" t="s">
        <v>255</v>
      </c>
      <c r="Q10" s="68" t="s">
        <v>256</v>
      </c>
      <c r="R10" s="68" t="s">
        <v>257</v>
      </c>
      <c r="S10" s="68" t="s">
        <v>258</v>
      </c>
      <c r="T10" s="68" t="s">
        <v>259</v>
      </c>
      <c r="U10" s="68" t="s">
        <v>260</v>
      </c>
      <c r="V10" s="68" t="s">
        <v>261</v>
      </c>
      <c r="W10" s="68" t="s">
        <v>262</v>
      </c>
      <c r="X10" s="68" t="s">
        <v>263</v>
      </c>
      <c r="Y10" s="68" t="s">
        <v>264</v>
      </c>
      <c r="Z10" s="69" t="s">
        <v>265</v>
      </c>
      <c r="AA10" s="66" t="s">
        <v>266</v>
      </c>
      <c r="AB10" s="68" t="s">
        <v>267</v>
      </c>
      <c r="AC10" s="68" t="s">
        <v>268</v>
      </c>
      <c r="AD10" s="68" t="s">
        <v>269</v>
      </c>
      <c r="AE10" s="68" t="s">
        <v>270</v>
      </c>
      <c r="AF10" s="68" t="s">
        <v>271</v>
      </c>
      <c r="AG10" s="68" t="s">
        <v>272</v>
      </c>
      <c r="AH10" s="69" t="s">
        <v>273</v>
      </c>
      <c r="AI10" s="66" t="s">
        <v>274</v>
      </c>
      <c r="AJ10" s="68" t="s">
        <v>275</v>
      </c>
      <c r="AK10" s="68" t="s">
        <v>276</v>
      </c>
      <c r="AL10" s="68" t="s">
        <v>277</v>
      </c>
      <c r="AM10" s="68" t="s">
        <v>278</v>
      </c>
      <c r="AN10" s="68" t="s">
        <v>279</v>
      </c>
      <c r="AO10" s="68" t="s">
        <v>280</v>
      </c>
      <c r="AP10" s="68" t="s">
        <v>281</v>
      </c>
      <c r="AQ10" s="69" t="s">
        <v>282</v>
      </c>
      <c r="AR10" s="66" t="s">
        <v>283</v>
      </c>
      <c r="AS10" s="68" t="s">
        <v>284</v>
      </c>
      <c r="AT10" s="68" t="s">
        <v>285</v>
      </c>
      <c r="AU10" s="68" t="s">
        <v>286</v>
      </c>
      <c r="AV10" s="68" t="s">
        <v>287</v>
      </c>
      <c r="AW10" s="69" t="s">
        <v>288</v>
      </c>
      <c r="AX10" s="66" t="s">
        <v>289</v>
      </c>
      <c r="AY10" s="69" t="s">
        <v>290</v>
      </c>
      <c r="AZ10" s="57" t="n">
        <v>12</v>
      </c>
      <c r="BA10" s="9"/>
      <c r="BB10" s="9"/>
    </row>
    <row r="11" customFormat="false" ht="18" hidden="false" customHeight="true" outlineLevel="0" collapsed="false">
      <c r="A11" s="50"/>
      <c r="B11" s="60" t="n">
        <v>6</v>
      </c>
      <c r="C11" s="59" t="s">
        <v>11</v>
      </c>
      <c r="D11" s="60" t="s">
        <v>291</v>
      </c>
      <c r="E11" s="62" t="s">
        <v>292</v>
      </c>
      <c r="F11" s="62" t="s">
        <v>293</v>
      </c>
      <c r="G11" s="62" t="s">
        <v>294</v>
      </c>
      <c r="H11" s="62" t="s">
        <v>295</v>
      </c>
      <c r="I11" s="61"/>
      <c r="J11" s="62" t="s">
        <v>296</v>
      </c>
      <c r="K11" s="62" t="s">
        <v>297</v>
      </c>
      <c r="L11" s="62" t="s">
        <v>298</v>
      </c>
      <c r="M11" s="62" t="s">
        <v>299</v>
      </c>
      <c r="N11" s="63" t="s">
        <v>300</v>
      </c>
      <c r="O11" s="60" t="s">
        <v>301</v>
      </c>
      <c r="P11" s="62" t="s">
        <v>302</v>
      </c>
      <c r="Q11" s="62" t="s">
        <v>303</v>
      </c>
      <c r="R11" s="62" t="s">
        <v>304</v>
      </c>
      <c r="S11" s="62" t="s">
        <v>305</v>
      </c>
      <c r="T11" s="62" t="s">
        <v>306</v>
      </c>
      <c r="U11" s="62" t="s">
        <v>307</v>
      </c>
      <c r="V11" s="62" t="s">
        <v>308</v>
      </c>
      <c r="W11" s="62" t="s">
        <v>309</v>
      </c>
      <c r="X11" s="62" t="s">
        <v>310</v>
      </c>
      <c r="Y11" s="62" t="s">
        <v>311</v>
      </c>
      <c r="Z11" s="63" t="s">
        <v>312</v>
      </c>
      <c r="AA11" s="60" t="s">
        <v>313</v>
      </c>
      <c r="AB11" s="62" t="s">
        <v>314</v>
      </c>
      <c r="AC11" s="62" t="s">
        <v>315</v>
      </c>
      <c r="AD11" s="62" t="s">
        <v>316</v>
      </c>
      <c r="AE11" s="62" t="s">
        <v>317</v>
      </c>
      <c r="AF11" s="62" t="s">
        <v>318</v>
      </c>
      <c r="AG11" s="62" t="s">
        <v>319</v>
      </c>
      <c r="AH11" s="63" t="s">
        <v>320</v>
      </c>
      <c r="AI11" s="60" t="s">
        <v>321</v>
      </c>
      <c r="AJ11" s="62" t="s">
        <v>322</v>
      </c>
      <c r="AK11" s="62" t="s">
        <v>323</v>
      </c>
      <c r="AL11" s="62" t="s">
        <v>324</v>
      </c>
      <c r="AM11" s="62" t="s">
        <v>325</v>
      </c>
      <c r="AN11" s="62" t="s">
        <v>326</v>
      </c>
      <c r="AO11" s="62" t="s">
        <v>327</v>
      </c>
      <c r="AP11" s="62" t="s">
        <v>328</v>
      </c>
      <c r="AQ11" s="63" t="s">
        <v>329</v>
      </c>
      <c r="AR11" s="60" t="s">
        <v>330</v>
      </c>
      <c r="AS11" s="62" t="s">
        <v>331</v>
      </c>
      <c r="AT11" s="62" t="s">
        <v>332</v>
      </c>
      <c r="AU11" s="62" t="s">
        <v>333</v>
      </c>
      <c r="AV11" s="62" t="s">
        <v>334</v>
      </c>
      <c r="AW11" s="63" t="s">
        <v>335</v>
      </c>
      <c r="AX11" s="60" t="s">
        <v>336</v>
      </c>
      <c r="AY11" s="63" t="s">
        <v>337</v>
      </c>
      <c r="AZ11" s="57" t="n">
        <v>35</v>
      </c>
      <c r="BA11" s="9"/>
      <c r="BB11" s="70"/>
    </row>
    <row r="12" customFormat="false" ht="18" hidden="false" customHeight="true" outlineLevel="0" collapsed="false">
      <c r="A12" s="50"/>
      <c r="B12" s="64" t="n">
        <v>7</v>
      </c>
      <c r="C12" s="65" t="s">
        <v>12</v>
      </c>
      <c r="D12" s="66" t="s">
        <v>338</v>
      </c>
      <c r="E12" s="67" t="s">
        <v>339</v>
      </c>
      <c r="F12" s="68" t="s">
        <v>340</v>
      </c>
      <c r="G12" s="67" t="s">
        <v>341</v>
      </c>
      <c r="H12" s="68" t="s">
        <v>342</v>
      </c>
      <c r="I12" s="67" t="s">
        <v>343</v>
      </c>
      <c r="J12" s="61"/>
      <c r="K12" s="67" t="s">
        <v>344</v>
      </c>
      <c r="L12" s="68" t="s">
        <v>345</v>
      </c>
      <c r="M12" s="67" t="s">
        <v>346</v>
      </c>
      <c r="N12" s="69" t="s">
        <v>347</v>
      </c>
      <c r="O12" s="66" t="s">
        <v>348</v>
      </c>
      <c r="P12" s="68" t="s">
        <v>349</v>
      </c>
      <c r="Q12" s="68" t="s">
        <v>350</v>
      </c>
      <c r="R12" s="68" t="s">
        <v>351</v>
      </c>
      <c r="S12" s="68" t="s">
        <v>352</v>
      </c>
      <c r="T12" s="68" t="s">
        <v>353</v>
      </c>
      <c r="U12" s="68" t="s">
        <v>354</v>
      </c>
      <c r="V12" s="68" t="s">
        <v>355</v>
      </c>
      <c r="W12" s="68" t="s">
        <v>356</v>
      </c>
      <c r="X12" s="68" t="s">
        <v>357</v>
      </c>
      <c r="Y12" s="68" t="s">
        <v>358</v>
      </c>
      <c r="Z12" s="69" t="s">
        <v>359</v>
      </c>
      <c r="AA12" s="66" t="s">
        <v>360</v>
      </c>
      <c r="AB12" s="68" t="s">
        <v>361</v>
      </c>
      <c r="AC12" s="68" t="s">
        <v>362</v>
      </c>
      <c r="AD12" s="68" t="s">
        <v>363</v>
      </c>
      <c r="AE12" s="68" t="s">
        <v>364</v>
      </c>
      <c r="AF12" s="68" t="s">
        <v>365</v>
      </c>
      <c r="AG12" s="68" t="s">
        <v>366</v>
      </c>
      <c r="AH12" s="69" t="s">
        <v>367</v>
      </c>
      <c r="AI12" s="66" t="s">
        <v>368</v>
      </c>
      <c r="AJ12" s="68" t="s">
        <v>369</v>
      </c>
      <c r="AK12" s="68" t="s">
        <v>370</v>
      </c>
      <c r="AL12" s="68" t="s">
        <v>371</v>
      </c>
      <c r="AM12" s="68" t="s">
        <v>372</v>
      </c>
      <c r="AN12" s="68" t="s">
        <v>373</v>
      </c>
      <c r="AO12" s="68" t="s">
        <v>374</v>
      </c>
      <c r="AP12" s="68" t="s">
        <v>375</v>
      </c>
      <c r="AQ12" s="69" t="s">
        <v>376</v>
      </c>
      <c r="AR12" s="66" t="s">
        <v>377</v>
      </c>
      <c r="AS12" s="68" t="s">
        <v>378</v>
      </c>
      <c r="AT12" s="68" t="s">
        <v>379</v>
      </c>
      <c r="AU12" s="68" t="s">
        <v>380</v>
      </c>
      <c r="AV12" s="68" t="s">
        <v>381</v>
      </c>
      <c r="AW12" s="69" t="s">
        <v>382</v>
      </c>
      <c r="AX12" s="66" t="s">
        <v>383</v>
      </c>
      <c r="AY12" s="69" t="s">
        <v>384</v>
      </c>
      <c r="AZ12" s="57" t="n">
        <v>33</v>
      </c>
      <c r="BA12" s="2"/>
      <c r="BB12" s="71" t="s">
        <v>4887</v>
      </c>
      <c r="BC12" s="72"/>
      <c r="BD12" s="72"/>
    </row>
    <row r="13" customFormat="false" ht="18" hidden="false" customHeight="true" outlineLevel="0" collapsed="false">
      <c r="A13" s="50"/>
      <c r="B13" s="60" t="n">
        <v>8</v>
      </c>
      <c r="C13" s="59" t="s">
        <v>13</v>
      </c>
      <c r="D13" s="60" t="s">
        <v>386</v>
      </c>
      <c r="E13" s="62" t="s">
        <v>387</v>
      </c>
      <c r="F13" s="62" t="s">
        <v>388</v>
      </c>
      <c r="G13" s="62" t="s">
        <v>389</v>
      </c>
      <c r="H13" s="62" t="s">
        <v>390</v>
      </c>
      <c r="I13" s="62" t="s">
        <v>391</v>
      </c>
      <c r="J13" s="62" t="s">
        <v>392</v>
      </c>
      <c r="K13" s="61"/>
      <c r="L13" s="62" t="s">
        <v>393</v>
      </c>
      <c r="M13" s="62" t="s">
        <v>394</v>
      </c>
      <c r="N13" s="63" t="s">
        <v>395</v>
      </c>
      <c r="O13" s="60" t="s">
        <v>396</v>
      </c>
      <c r="P13" s="62" t="s">
        <v>397</v>
      </c>
      <c r="Q13" s="62" t="s">
        <v>398</v>
      </c>
      <c r="R13" s="62" t="s">
        <v>399</v>
      </c>
      <c r="S13" s="62" t="s">
        <v>400</v>
      </c>
      <c r="T13" s="62" t="s">
        <v>401</v>
      </c>
      <c r="U13" s="62" t="s">
        <v>402</v>
      </c>
      <c r="V13" s="62" t="s">
        <v>403</v>
      </c>
      <c r="W13" s="62" t="s">
        <v>404</v>
      </c>
      <c r="X13" s="62" t="s">
        <v>405</v>
      </c>
      <c r="Y13" s="62" t="s">
        <v>406</v>
      </c>
      <c r="Z13" s="63" t="s">
        <v>407</v>
      </c>
      <c r="AA13" s="60" t="s">
        <v>408</v>
      </c>
      <c r="AB13" s="62" t="s">
        <v>409</v>
      </c>
      <c r="AC13" s="62" t="s">
        <v>410</v>
      </c>
      <c r="AD13" s="62" t="s">
        <v>411</v>
      </c>
      <c r="AE13" s="62" t="s">
        <v>412</v>
      </c>
      <c r="AF13" s="62" t="s">
        <v>413</v>
      </c>
      <c r="AG13" s="62" t="s">
        <v>414</v>
      </c>
      <c r="AH13" s="63" t="s">
        <v>415</v>
      </c>
      <c r="AI13" s="60" t="s">
        <v>416</v>
      </c>
      <c r="AJ13" s="62" t="s">
        <v>417</v>
      </c>
      <c r="AK13" s="62" t="s">
        <v>418</v>
      </c>
      <c r="AL13" s="62" t="s">
        <v>419</v>
      </c>
      <c r="AM13" s="62" t="s">
        <v>420</v>
      </c>
      <c r="AN13" s="62" t="s">
        <v>421</v>
      </c>
      <c r="AO13" s="62" t="s">
        <v>422</v>
      </c>
      <c r="AP13" s="62" t="s">
        <v>423</v>
      </c>
      <c r="AQ13" s="63" t="s">
        <v>424</v>
      </c>
      <c r="AR13" s="60" t="s">
        <v>425</v>
      </c>
      <c r="AS13" s="62" t="s">
        <v>426</v>
      </c>
      <c r="AT13" s="62" t="s">
        <v>427</v>
      </c>
      <c r="AU13" s="62" t="s">
        <v>428</v>
      </c>
      <c r="AV13" s="62" t="s">
        <v>429</v>
      </c>
      <c r="AW13" s="63" t="s">
        <v>430</v>
      </c>
      <c r="AX13" s="60" t="s">
        <v>431</v>
      </c>
      <c r="AY13" s="63" t="s">
        <v>432</v>
      </c>
      <c r="AZ13" s="57" t="n">
        <v>57</v>
      </c>
      <c r="BA13" s="73" t="s">
        <v>433</v>
      </c>
      <c r="BB13" s="73"/>
      <c r="BC13" s="72" t="n">
        <v>1218</v>
      </c>
      <c r="BD13" s="72"/>
    </row>
    <row r="14" customFormat="false" ht="18" hidden="false" customHeight="true" outlineLevel="0" collapsed="false">
      <c r="A14" s="50"/>
      <c r="B14" s="64" t="n">
        <v>9</v>
      </c>
      <c r="C14" s="65" t="s">
        <v>14</v>
      </c>
      <c r="D14" s="66" t="s">
        <v>434</v>
      </c>
      <c r="E14" s="67" t="s">
        <v>435</v>
      </c>
      <c r="F14" s="68" t="s">
        <v>436</v>
      </c>
      <c r="G14" s="67" t="s">
        <v>437</v>
      </c>
      <c r="H14" s="68" t="s">
        <v>438</v>
      </c>
      <c r="I14" s="67" t="s">
        <v>439</v>
      </c>
      <c r="J14" s="68" t="s">
        <v>440</v>
      </c>
      <c r="K14" s="67" t="s">
        <v>441</v>
      </c>
      <c r="L14" s="61"/>
      <c r="M14" s="67" t="s">
        <v>442</v>
      </c>
      <c r="N14" s="69" t="s">
        <v>443</v>
      </c>
      <c r="O14" s="66" t="s">
        <v>444</v>
      </c>
      <c r="P14" s="68" t="s">
        <v>445</v>
      </c>
      <c r="Q14" s="68" t="s">
        <v>446</v>
      </c>
      <c r="R14" s="68" t="s">
        <v>447</v>
      </c>
      <c r="S14" s="68" t="s">
        <v>448</v>
      </c>
      <c r="T14" s="68" t="s">
        <v>449</v>
      </c>
      <c r="U14" s="68" t="s">
        <v>450</v>
      </c>
      <c r="V14" s="68" t="s">
        <v>451</v>
      </c>
      <c r="W14" s="68" t="s">
        <v>452</v>
      </c>
      <c r="X14" s="68" t="s">
        <v>453</v>
      </c>
      <c r="Y14" s="68" t="s">
        <v>454</v>
      </c>
      <c r="Z14" s="69" t="s">
        <v>455</v>
      </c>
      <c r="AA14" s="66" t="s">
        <v>456</v>
      </c>
      <c r="AB14" s="68" t="s">
        <v>457</v>
      </c>
      <c r="AC14" s="68" t="s">
        <v>458</v>
      </c>
      <c r="AD14" s="68" t="s">
        <v>459</v>
      </c>
      <c r="AE14" s="68" t="s">
        <v>460</v>
      </c>
      <c r="AF14" s="68" t="s">
        <v>461</v>
      </c>
      <c r="AG14" s="68" t="s">
        <v>462</v>
      </c>
      <c r="AH14" s="69" t="s">
        <v>463</v>
      </c>
      <c r="AI14" s="66" t="s">
        <v>464</v>
      </c>
      <c r="AJ14" s="68" t="s">
        <v>465</v>
      </c>
      <c r="AK14" s="68" t="s">
        <v>466</v>
      </c>
      <c r="AL14" s="68" t="s">
        <v>467</v>
      </c>
      <c r="AM14" s="68" t="s">
        <v>468</v>
      </c>
      <c r="AN14" s="68" t="s">
        <v>469</v>
      </c>
      <c r="AO14" s="68" t="s">
        <v>470</v>
      </c>
      <c r="AP14" s="68" t="s">
        <v>471</v>
      </c>
      <c r="AQ14" s="69" t="s">
        <v>472</v>
      </c>
      <c r="AR14" s="66" t="s">
        <v>473</v>
      </c>
      <c r="AS14" s="68" t="s">
        <v>474</v>
      </c>
      <c r="AT14" s="68" t="s">
        <v>475</v>
      </c>
      <c r="AU14" s="68" t="s">
        <v>476</v>
      </c>
      <c r="AV14" s="68" t="s">
        <v>477</v>
      </c>
      <c r="AW14" s="69" t="s">
        <v>478</v>
      </c>
      <c r="AX14" s="66" t="s">
        <v>479</v>
      </c>
      <c r="AY14" s="69" t="s">
        <v>480</v>
      </c>
      <c r="AZ14" s="57" t="n">
        <v>31</v>
      </c>
      <c r="BA14" s="74" t="n">
        <v>1</v>
      </c>
      <c r="BB14" s="122" t="s">
        <v>481</v>
      </c>
      <c r="BC14" s="76" t="n">
        <v>0</v>
      </c>
      <c r="BD14" s="76"/>
    </row>
    <row r="15" customFormat="false" ht="18" hidden="false" customHeight="true" outlineLevel="0" collapsed="false">
      <c r="A15" s="50"/>
      <c r="B15" s="60" t="n">
        <v>10</v>
      </c>
      <c r="C15" s="59" t="s">
        <v>15</v>
      </c>
      <c r="D15" s="60" t="s">
        <v>482</v>
      </c>
      <c r="E15" s="62" t="s">
        <v>483</v>
      </c>
      <c r="F15" s="62" t="s">
        <v>484</v>
      </c>
      <c r="G15" s="62" t="s">
        <v>485</v>
      </c>
      <c r="H15" s="62" t="s">
        <v>486</v>
      </c>
      <c r="I15" s="62" t="s">
        <v>487</v>
      </c>
      <c r="J15" s="62" t="s">
        <v>488</v>
      </c>
      <c r="K15" s="62" t="s">
        <v>489</v>
      </c>
      <c r="L15" s="62" t="s">
        <v>490</v>
      </c>
      <c r="M15" s="61"/>
      <c r="N15" s="63" t="s">
        <v>491</v>
      </c>
      <c r="O15" s="60" t="s">
        <v>492</v>
      </c>
      <c r="P15" s="62" t="s">
        <v>493</v>
      </c>
      <c r="Q15" s="62" t="s">
        <v>494</v>
      </c>
      <c r="R15" s="62" t="s">
        <v>495</v>
      </c>
      <c r="S15" s="62" t="s">
        <v>496</v>
      </c>
      <c r="T15" s="62" t="s">
        <v>497</v>
      </c>
      <c r="U15" s="62" t="s">
        <v>498</v>
      </c>
      <c r="V15" s="62" t="s">
        <v>499</v>
      </c>
      <c r="W15" s="62" t="s">
        <v>500</v>
      </c>
      <c r="X15" s="62" t="s">
        <v>501</v>
      </c>
      <c r="Y15" s="62" t="s">
        <v>502</v>
      </c>
      <c r="Z15" s="63" t="s">
        <v>503</v>
      </c>
      <c r="AA15" s="60" t="s">
        <v>504</v>
      </c>
      <c r="AB15" s="62" t="s">
        <v>505</v>
      </c>
      <c r="AC15" s="62" t="s">
        <v>506</v>
      </c>
      <c r="AD15" s="62" t="s">
        <v>507</v>
      </c>
      <c r="AE15" s="62" t="s">
        <v>508</v>
      </c>
      <c r="AF15" s="62" t="s">
        <v>509</v>
      </c>
      <c r="AG15" s="62" t="s">
        <v>510</v>
      </c>
      <c r="AH15" s="63" t="s">
        <v>511</v>
      </c>
      <c r="AI15" s="60" t="s">
        <v>512</v>
      </c>
      <c r="AJ15" s="62" t="s">
        <v>513</v>
      </c>
      <c r="AK15" s="62" t="s">
        <v>514</v>
      </c>
      <c r="AL15" s="62" t="s">
        <v>515</v>
      </c>
      <c r="AM15" s="62" t="s">
        <v>516</v>
      </c>
      <c r="AN15" s="62" t="s">
        <v>517</v>
      </c>
      <c r="AO15" s="62" t="s">
        <v>518</v>
      </c>
      <c r="AP15" s="62" t="s">
        <v>519</v>
      </c>
      <c r="AQ15" s="63" t="s">
        <v>520</v>
      </c>
      <c r="AR15" s="60" t="s">
        <v>521</v>
      </c>
      <c r="AS15" s="62" t="s">
        <v>522</v>
      </c>
      <c r="AT15" s="62" t="s">
        <v>523</v>
      </c>
      <c r="AU15" s="62" t="s">
        <v>524</v>
      </c>
      <c r="AV15" s="62" t="s">
        <v>525</v>
      </c>
      <c r="AW15" s="63" t="s">
        <v>526</v>
      </c>
      <c r="AX15" s="60" t="s">
        <v>527</v>
      </c>
      <c r="AY15" s="63" t="s">
        <v>528</v>
      </c>
      <c r="AZ15" s="57" t="n">
        <v>15</v>
      </c>
      <c r="BA15" s="74" t="n">
        <v>2</v>
      </c>
      <c r="BB15" s="122" t="s">
        <v>529</v>
      </c>
      <c r="BC15" s="76" t="n">
        <v>0</v>
      </c>
      <c r="BD15" s="76"/>
    </row>
    <row r="16" customFormat="false" ht="18" hidden="false" customHeight="true" outlineLevel="0" collapsed="false">
      <c r="A16" s="50"/>
      <c r="B16" s="78" t="n">
        <v>11</v>
      </c>
      <c r="C16" s="79" t="s">
        <v>530</v>
      </c>
      <c r="D16" s="80" t="s">
        <v>531</v>
      </c>
      <c r="E16" s="81" t="s">
        <v>532</v>
      </c>
      <c r="F16" s="82" t="s">
        <v>533</v>
      </c>
      <c r="G16" s="81" t="s">
        <v>534</v>
      </c>
      <c r="H16" s="82" t="s">
        <v>535</v>
      </c>
      <c r="I16" s="81" t="s">
        <v>536</v>
      </c>
      <c r="J16" s="82" t="s">
        <v>537</v>
      </c>
      <c r="K16" s="81" t="s">
        <v>538</v>
      </c>
      <c r="L16" s="81" t="s">
        <v>539</v>
      </c>
      <c r="M16" s="81" t="s">
        <v>540</v>
      </c>
      <c r="N16" s="83"/>
      <c r="O16" s="84" t="s">
        <v>541</v>
      </c>
      <c r="P16" s="85" t="s">
        <v>542</v>
      </c>
      <c r="Q16" s="85" t="s">
        <v>543</v>
      </c>
      <c r="R16" s="85" t="s">
        <v>544</v>
      </c>
      <c r="S16" s="85" t="s">
        <v>545</v>
      </c>
      <c r="T16" s="85" t="s">
        <v>546</v>
      </c>
      <c r="U16" s="85" t="s">
        <v>547</v>
      </c>
      <c r="V16" s="85" t="s">
        <v>548</v>
      </c>
      <c r="W16" s="85" t="s">
        <v>549</v>
      </c>
      <c r="X16" s="85" t="s">
        <v>550</v>
      </c>
      <c r="Y16" s="85" t="s">
        <v>551</v>
      </c>
      <c r="Z16" s="86" t="s">
        <v>552</v>
      </c>
      <c r="AA16" s="84" t="s">
        <v>553</v>
      </c>
      <c r="AB16" s="85" t="s">
        <v>554</v>
      </c>
      <c r="AC16" s="85" t="s">
        <v>555</v>
      </c>
      <c r="AD16" s="85" t="s">
        <v>556</v>
      </c>
      <c r="AE16" s="85" t="s">
        <v>557</v>
      </c>
      <c r="AF16" s="85" t="s">
        <v>558</v>
      </c>
      <c r="AG16" s="85" t="s">
        <v>559</v>
      </c>
      <c r="AH16" s="86" t="s">
        <v>560</v>
      </c>
      <c r="AI16" s="84" t="s">
        <v>561</v>
      </c>
      <c r="AJ16" s="85" t="s">
        <v>562</v>
      </c>
      <c r="AK16" s="85" t="s">
        <v>563</v>
      </c>
      <c r="AL16" s="85" t="s">
        <v>564</v>
      </c>
      <c r="AM16" s="85" t="s">
        <v>565</v>
      </c>
      <c r="AN16" s="85" t="s">
        <v>566</v>
      </c>
      <c r="AO16" s="85" t="s">
        <v>567</v>
      </c>
      <c r="AP16" s="85" t="s">
        <v>568</v>
      </c>
      <c r="AQ16" s="86" t="s">
        <v>569</v>
      </c>
      <c r="AR16" s="84" t="s">
        <v>570</v>
      </c>
      <c r="AS16" s="85" t="s">
        <v>571</v>
      </c>
      <c r="AT16" s="85" t="s">
        <v>572</v>
      </c>
      <c r="AU16" s="85" t="s">
        <v>573</v>
      </c>
      <c r="AV16" s="85" t="s">
        <v>574</v>
      </c>
      <c r="AW16" s="86" t="s">
        <v>575</v>
      </c>
      <c r="AX16" s="84" t="s">
        <v>576</v>
      </c>
      <c r="AY16" s="86" t="s">
        <v>577</v>
      </c>
      <c r="AZ16" s="57" t="n">
        <v>153</v>
      </c>
      <c r="BA16" s="74" t="n">
        <v>3</v>
      </c>
      <c r="BB16" s="122" t="s">
        <v>578</v>
      </c>
      <c r="BC16" s="76" t="n">
        <v>0</v>
      </c>
      <c r="BD16" s="76"/>
    </row>
    <row r="17" customFormat="false" ht="18" hidden="false" customHeight="true" outlineLevel="0" collapsed="false">
      <c r="A17" s="87" t="s">
        <v>1</v>
      </c>
      <c r="B17" s="88" t="n">
        <v>12</v>
      </c>
      <c r="C17" s="89" t="s">
        <v>579</v>
      </c>
      <c r="D17" s="88" t="s">
        <v>580</v>
      </c>
      <c r="E17" s="90" t="s">
        <v>581</v>
      </c>
      <c r="F17" s="90" t="s">
        <v>582</v>
      </c>
      <c r="G17" s="90" t="s">
        <v>583</v>
      </c>
      <c r="H17" s="90" t="s">
        <v>584</v>
      </c>
      <c r="I17" s="90" t="s">
        <v>585</v>
      </c>
      <c r="J17" s="90" t="s">
        <v>586</v>
      </c>
      <c r="K17" s="90" t="s">
        <v>587</v>
      </c>
      <c r="L17" s="90" t="s">
        <v>588</v>
      </c>
      <c r="M17" s="90" t="s">
        <v>589</v>
      </c>
      <c r="N17" s="91" t="s">
        <v>590</v>
      </c>
      <c r="O17" s="53"/>
      <c r="P17" s="90" t="s">
        <v>591</v>
      </c>
      <c r="Q17" s="90" t="s">
        <v>592</v>
      </c>
      <c r="R17" s="90" t="s">
        <v>593</v>
      </c>
      <c r="S17" s="90" t="s">
        <v>594</v>
      </c>
      <c r="T17" s="90" t="s">
        <v>595</v>
      </c>
      <c r="U17" s="90" t="s">
        <v>596</v>
      </c>
      <c r="V17" s="90" t="s">
        <v>597</v>
      </c>
      <c r="W17" s="90" t="s">
        <v>598</v>
      </c>
      <c r="X17" s="90" t="s">
        <v>599</v>
      </c>
      <c r="Y17" s="90" t="s">
        <v>600</v>
      </c>
      <c r="Z17" s="91" t="s">
        <v>601</v>
      </c>
      <c r="AA17" s="88" t="s">
        <v>602</v>
      </c>
      <c r="AB17" s="90" t="s">
        <v>603</v>
      </c>
      <c r="AC17" s="90" t="s">
        <v>604</v>
      </c>
      <c r="AD17" s="90" t="s">
        <v>605</v>
      </c>
      <c r="AE17" s="90" t="s">
        <v>606</v>
      </c>
      <c r="AF17" s="90" t="s">
        <v>607</v>
      </c>
      <c r="AG17" s="90" t="s">
        <v>608</v>
      </c>
      <c r="AH17" s="91" t="s">
        <v>609</v>
      </c>
      <c r="AI17" s="88" t="s">
        <v>610</v>
      </c>
      <c r="AJ17" s="90" t="s">
        <v>611</v>
      </c>
      <c r="AK17" s="90" t="s">
        <v>612</v>
      </c>
      <c r="AL17" s="90" t="s">
        <v>613</v>
      </c>
      <c r="AM17" s="90" t="s">
        <v>614</v>
      </c>
      <c r="AN17" s="90" t="s">
        <v>615</v>
      </c>
      <c r="AO17" s="90" t="s">
        <v>616</v>
      </c>
      <c r="AP17" s="90" t="s">
        <v>617</v>
      </c>
      <c r="AQ17" s="91" t="s">
        <v>618</v>
      </c>
      <c r="AR17" s="88" t="s">
        <v>619</v>
      </c>
      <c r="AS17" s="90" t="s">
        <v>620</v>
      </c>
      <c r="AT17" s="90" t="s">
        <v>621</v>
      </c>
      <c r="AU17" s="90" t="s">
        <v>622</v>
      </c>
      <c r="AV17" s="90" t="s">
        <v>623</v>
      </c>
      <c r="AW17" s="91" t="s">
        <v>624</v>
      </c>
      <c r="AX17" s="88" t="s">
        <v>625</v>
      </c>
      <c r="AY17" s="91" t="s">
        <v>626</v>
      </c>
      <c r="AZ17" s="57" t="n">
        <v>44</v>
      </c>
      <c r="BA17" s="74" t="n">
        <v>4</v>
      </c>
      <c r="BB17" s="122" t="s">
        <v>627</v>
      </c>
      <c r="BC17" s="76" t="n">
        <v>0</v>
      </c>
      <c r="BD17" s="76"/>
    </row>
    <row r="18" customFormat="false" ht="18" hidden="false" customHeight="true" outlineLevel="0" collapsed="false">
      <c r="A18" s="87"/>
      <c r="B18" s="64" t="n">
        <v>13</v>
      </c>
      <c r="C18" s="65" t="s">
        <v>628</v>
      </c>
      <c r="D18" s="66" t="s">
        <v>629</v>
      </c>
      <c r="E18" s="67" t="s">
        <v>630</v>
      </c>
      <c r="F18" s="68" t="s">
        <v>631</v>
      </c>
      <c r="G18" s="67" t="s">
        <v>632</v>
      </c>
      <c r="H18" s="67" t="s">
        <v>633</v>
      </c>
      <c r="I18" s="68" t="s">
        <v>634</v>
      </c>
      <c r="J18" s="68" t="s">
        <v>635</v>
      </c>
      <c r="K18" s="68" t="s">
        <v>636</v>
      </c>
      <c r="L18" s="68" t="s">
        <v>637</v>
      </c>
      <c r="M18" s="68" t="s">
        <v>638</v>
      </c>
      <c r="N18" s="92" t="s">
        <v>639</v>
      </c>
      <c r="O18" s="64" t="s">
        <v>640</v>
      </c>
      <c r="P18" s="61"/>
      <c r="Q18" s="68" t="s">
        <v>641</v>
      </c>
      <c r="R18" s="68" t="s">
        <v>642</v>
      </c>
      <c r="S18" s="68" t="s">
        <v>643</v>
      </c>
      <c r="T18" s="68" t="s">
        <v>644</v>
      </c>
      <c r="U18" s="68" t="s">
        <v>645</v>
      </c>
      <c r="V18" s="68" t="s">
        <v>646</v>
      </c>
      <c r="W18" s="68" t="s">
        <v>647</v>
      </c>
      <c r="X18" s="68" t="s">
        <v>648</v>
      </c>
      <c r="Y18" s="68" t="s">
        <v>649</v>
      </c>
      <c r="Z18" s="69" t="s">
        <v>650</v>
      </c>
      <c r="AA18" s="66" t="s">
        <v>651</v>
      </c>
      <c r="AB18" s="68" t="s">
        <v>652</v>
      </c>
      <c r="AC18" s="68" t="s">
        <v>653</v>
      </c>
      <c r="AD18" s="68" t="s">
        <v>654</v>
      </c>
      <c r="AE18" s="68" t="s">
        <v>655</v>
      </c>
      <c r="AF18" s="68" t="s">
        <v>656</v>
      </c>
      <c r="AG18" s="68" t="s">
        <v>657</v>
      </c>
      <c r="AH18" s="69" t="s">
        <v>658</v>
      </c>
      <c r="AI18" s="66" t="s">
        <v>659</v>
      </c>
      <c r="AJ18" s="68" t="s">
        <v>660</v>
      </c>
      <c r="AK18" s="68" t="s">
        <v>661</v>
      </c>
      <c r="AL18" s="68" t="s">
        <v>662</v>
      </c>
      <c r="AM18" s="68" t="s">
        <v>663</v>
      </c>
      <c r="AN18" s="68" t="s">
        <v>664</v>
      </c>
      <c r="AO18" s="68" t="s">
        <v>665</v>
      </c>
      <c r="AP18" s="68" t="s">
        <v>666</v>
      </c>
      <c r="AQ18" s="69" t="s">
        <v>667</v>
      </c>
      <c r="AR18" s="66" t="s">
        <v>668</v>
      </c>
      <c r="AS18" s="68" t="s">
        <v>669</v>
      </c>
      <c r="AT18" s="68" t="s">
        <v>670</v>
      </c>
      <c r="AU18" s="68" t="s">
        <v>671</v>
      </c>
      <c r="AV18" s="68" t="s">
        <v>672</v>
      </c>
      <c r="AW18" s="69" t="s">
        <v>673</v>
      </c>
      <c r="AX18" s="66" t="s">
        <v>674</v>
      </c>
      <c r="AY18" s="69" t="s">
        <v>675</v>
      </c>
      <c r="AZ18" s="57" t="n">
        <v>20</v>
      </c>
      <c r="BA18" s="74" t="n">
        <v>5</v>
      </c>
      <c r="BB18" s="122" t="s">
        <v>676</v>
      </c>
      <c r="BC18" s="76" t="n">
        <v>0</v>
      </c>
      <c r="BD18" s="76"/>
    </row>
    <row r="19" customFormat="false" ht="18" hidden="false" customHeight="true" outlineLevel="0" collapsed="false">
      <c r="A19" s="87"/>
      <c r="B19" s="60" t="n">
        <v>14</v>
      </c>
      <c r="C19" s="59" t="s">
        <v>19</v>
      </c>
      <c r="D19" s="60" t="s">
        <v>677</v>
      </c>
      <c r="E19" s="62" t="s">
        <v>678</v>
      </c>
      <c r="F19" s="62" t="s">
        <v>679</v>
      </c>
      <c r="G19" s="62" t="s">
        <v>680</v>
      </c>
      <c r="H19" s="62" t="s">
        <v>681</v>
      </c>
      <c r="I19" s="62" t="s">
        <v>682</v>
      </c>
      <c r="J19" s="62" t="s">
        <v>683</v>
      </c>
      <c r="K19" s="62" t="s">
        <v>684</v>
      </c>
      <c r="L19" s="62" t="s">
        <v>685</v>
      </c>
      <c r="M19" s="62" t="s">
        <v>686</v>
      </c>
      <c r="N19" s="63" t="s">
        <v>687</v>
      </c>
      <c r="O19" s="60" t="s">
        <v>688</v>
      </c>
      <c r="P19" s="62" t="s">
        <v>689</v>
      </c>
      <c r="Q19" s="61"/>
      <c r="R19" s="62" t="s">
        <v>690</v>
      </c>
      <c r="S19" s="62" t="s">
        <v>691</v>
      </c>
      <c r="T19" s="62" t="s">
        <v>692</v>
      </c>
      <c r="U19" s="62" t="s">
        <v>693</v>
      </c>
      <c r="V19" s="62" t="s">
        <v>694</v>
      </c>
      <c r="W19" s="62" t="s">
        <v>695</v>
      </c>
      <c r="X19" s="62" t="s">
        <v>696</v>
      </c>
      <c r="Y19" s="62" t="s">
        <v>697</v>
      </c>
      <c r="Z19" s="63" t="s">
        <v>698</v>
      </c>
      <c r="AA19" s="60" t="s">
        <v>699</v>
      </c>
      <c r="AB19" s="62" t="s">
        <v>700</v>
      </c>
      <c r="AC19" s="62" t="s">
        <v>701</v>
      </c>
      <c r="AD19" s="62" t="s">
        <v>702</v>
      </c>
      <c r="AE19" s="62" t="s">
        <v>703</v>
      </c>
      <c r="AF19" s="62" t="s">
        <v>704</v>
      </c>
      <c r="AG19" s="62" t="s">
        <v>705</v>
      </c>
      <c r="AH19" s="63" t="s">
        <v>706</v>
      </c>
      <c r="AI19" s="60" t="s">
        <v>707</v>
      </c>
      <c r="AJ19" s="62" t="s">
        <v>708</v>
      </c>
      <c r="AK19" s="62" t="s">
        <v>709</v>
      </c>
      <c r="AL19" s="62" t="s">
        <v>710</v>
      </c>
      <c r="AM19" s="62" t="s">
        <v>711</v>
      </c>
      <c r="AN19" s="62" t="s">
        <v>712</v>
      </c>
      <c r="AO19" s="62" t="s">
        <v>713</v>
      </c>
      <c r="AP19" s="62" t="s">
        <v>714</v>
      </c>
      <c r="AQ19" s="63" t="s">
        <v>715</v>
      </c>
      <c r="AR19" s="60" t="s">
        <v>716</v>
      </c>
      <c r="AS19" s="62" t="s">
        <v>717</v>
      </c>
      <c r="AT19" s="62" t="s">
        <v>718</v>
      </c>
      <c r="AU19" s="62" t="s">
        <v>719</v>
      </c>
      <c r="AV19" s="62" t="s">
        <v>720</v>
      </c>
      <c r="AW19" s="63" t="s">
        <v>721</v>
      </c>
      <c r="AX19" s="60" t="s">
        <v>722</v>
      </c>
      <c r="AY19" s="63" t="s">
        <v>723</v>
      </c>
      <c r="AZ19" s="57" t="n">
        <v>37</v>
      </c>
      <c r="BA19" s="74" t="n">
        <v>6</v>
      </c>
      <c r="BB19" s="122" t="s">
        <v>724</v>
      </c>
      <c r="BC19" s="76" t="n">
        <v>0</v>
      </c>
      <c r="BD19" s="76"/>
    </row>
    <row r="20" customFormat="false" ht="18" hidden="false" customHeight="true" outlineLevel="0" collapsed="false">
      <c r="A20" s="87"/>
      <c r="B20" s="64" t="n">
        <v>15</v>
      </c>
      <c r="C20" s="65" t="s">
        <v>20</v>
      </c>
      <c r="D20" s="66" t="s">
        <v>725</v>
      </c>
      <c r="E20" s="67" t="s">
        <v>726</v>
      </c>
      <c r="F20" s="68" t="s">
        <v>727</v>
      </c>
      <c r="G20" s="67" t="s">
        <v>728</v>
      </c>
      <c r="H20" s="67" t="s">
        <v>729</v>
      </c>
      <c r="I20" s="68" t="s">
        <v>730</v>
      </c>
      <c r="J20" s="68" t="s">
        <v>731</v>
      </c>
      <c r="K20" s="68" t="s">
        <v>732</v>
      </c>
      <c r="L20" s="68" t="s">
        <v>733</v>
      </c>
      <c r="M20" s="68" t="s">
        <v>734</v>
      </c>
      <c r="N20" s="69" t="s">
        <v>735</v>
      </c>
      <c r="O20" s="66" t="s">
        <v>736</v>
      </c>
      <c r="P20" s="67" t="s">
        <v>737</v>
      </c>
      <c r="Q20" s="67" t="s">
        <v>738</v>
      </c>
      <c r="R20" s="61"/>
      <c r="S20" s="68" t="s">
        <v>739</v>
      </c>
      <c r="T20" s="68" t="s">
        <v>740</v>
      </c>
      <c r="U20" s="68" t="s">
        <v>741</v>
      </c>
      <c r="V20" s="68" t="s">
        <v>742</v>
      </c>
      <c r="W20" s="68" t="s">
        <v>743</v>
      </c>
      <c r="X20" s="68" t="s">
        <v>744</v>
      </c>
      <c r="Y20" s="68" t="s">
        <v>745</v>
      </c>
      <c r="Z20" s="69" t="s">
        <v>746</v>
      </c>
      <c r="AA20" s="66" t="s">
        <v>747</v>
      </c>
      <c r="AB20" s="68" t="s">
        <v>748</v>
      </c>
      <c r="AC20" s="68" t="s">
        <v>749</v>
      </c>
      <c r="AD20" s="68" t="s">
        <v>750</v>
      </c>
      <c r="AE20" s="68" t="s">
        <v>751</v>
      </c>
      <c r="AF20" s="68" t="s">
        <v>752</v>
      </c>
      <c r="AG20" s="68" t="s">
        <v>753</v>
      </c>
      <c r="AH20" s="69" t="s">
        <v>754</v>
      </c>
      <c r="AI20" s="66" t="s">
        <v>755</v>
      </c>
      <c r="AJ20" s="68" t="s">
        <v>756</v>
      </c>
      <c r="AK20" s="68" t="s">
        <v>757</v>
      </c>
      <c r="AL20" s="68" t="s">
        <v>758</v>
      </c>
      <c r="AM20" s="68" t="s">
        <v>759</v>
      </c>
      <c r="AN20" s="68" t="s">
        <v>760</v>
      </c>
      <c r="AO20" s="68" t="s">
        <v>761</v>
      </c>
      <c r="AP20" s="68" t="s">
        <v>762</v>
      </c>
      <c r="AQ20" s="69" t="s">
        <v>763</v>
      </c>
      <c r="AR20" s="66" t="s">
        <v>764</v>
      </c>
      <c r="AS20" s="68" t="s">
        <v>765</v>
      </c>
      <c r="AT20" s="68" t="s">
        <v>766</v>
      </c>
      <c r="AU20" s="68" t="s">
        <v>767</v>
      </c>
      <c r="AV20" s="68" t="s">
        <v>768</v>
      </c>
      <c r="AW20" s="69" t="s">
        <v>769</v>
      </c>
      <c r="AX20" s="66" t="s">
        <v>770</v>
      </c>
      <c r="AY20" s="69" t="s">
        <v>771</v>
      </c>
      <c r="AZ20" s="57" t="n">
        <v>10</v>
      </c>
      <c r="BA20" s="74" t="n">
        <v>7</v>
      </c>
      <c r="BB20" s="122" t="s">
        <v>772</v>
      </c>
      <c r="BC20" s="76" t="n">
        <v>0</v>
      </c>
      <c r="BD20" s="76"/>
    </row>
    <row r="21" customFormat="false" ht="18" hidden="false" customHeight="true" outlineLevel="0" collapsed="false">
      <c r="A21" s="87"/>
      <c r="B21" s="60" t="n">
        <v>16</v>
      </c>
      <c r="C21" s="59" t="s">
        <v>773</v>
      </c>
      <c r="D21" s="60" t="s">
        <v>774</v>
      </c>
      <c r="E21" s="62" t="s">
        <v>775</v>
      </c>
      <c r="F21" s="62" t="s">
        <v>776</v>
      </c>
      <c r="G21" s="62" t="s">
        <v>777</v>
      </c>
      <c r="H21" s="62" t="s">
        <v>778</v>
      </c>
      <c r="I21" s="62" t="s">
        <v>779</v>
      </c>
      <c r="J21" s="62" t="s">
        <v>780</v>
      </c>
      <c r="K21" s="62" t="s">
        <v>781</v>
      </c>
      <c r="L21" s="62" t="s">
        <v>782</v>
      </c>
      <c r="M21" s="62" t="s">
        <v>783</v>
      </c>
      <c r="N21" s="63" t="s">
        <v>784</v>
      </c>
      <c r="O21" s="60" t="s">
        <v>785</v>
      </c>
      <c r="P21" s="62" t="s">
        <v>786</v>
      </c>
      <c r="Q21" s="62" t="s">
        <v>787</v>
      </c>
      <c r="R21" s="62" t="s">
        <v>788</v>
      </c>
      <c r="S21" s="61"/>
      <c r="T21" s="62" t="s">
        <v>789</v>
      </c>
      <c r="U21" s="62" t="s">
        <v>790</v>
      </c>
      <c r="V21" s="62" t="s">
        <v>791</v>
      </c>
      <c r="W21" s="62" t="s">
        <v>792</v>
      </c>
      <c r="X21" s="62" t="s">
        <v>793</v>
      </c>
      <c r="Y21" s="62" t="s">
        <v>794</v>
      </c>
      <c r="Z21" s="63" t="s">
        <v>795</v>
      </c>
      <c r="AA21" s="60" t="s">
        <v>796</v>
      </c>
      <c r="AB21" s="62" t="s">
        <v>797</v>
      </c>
      <c r="AC21" s="62" t="s">
        <v>798</v>
      </c>
      <c r="AD21" s="62" t="s">
        <v>799</v>
      </c>
      <c r="AE21" s="62" t="s">
        <v>800</v>
      </c>
      <c r="AF21" s="62" t="s">
        <v>801</v>
      </c>
      <c r="AG21" s="62" t="s">
        <v>802</v>
      </c>
      <c r="AH21" s="63" t="s">
        <v>803</v>
      </c>
      <c r="AI21" s="60" t="s">
        <v>804</v>
      </c>
      <c r="AJ21" s="62" t="s">
        <v>805</v>
      </c>
      <c r="AK21" s="62" t="s">
        <v>806</v>
      </c>
      <c r="AL21" s="62" t="s">
        <v>807</v>
      </c>
      <c r="AM21" s="62" t="s">
        <v>808</v>
      </c>
      <c r="AN21" s="62" t="s">
        <v>809</v>
      </c>
      <c r="AO21" s="62" t="s">
        <v>810</v>
      </c>
      <c r="AP21" s="62" t="s">
        <v>811</v>
      </c>
      <c r="AQ21" s="63" t="s">
        <v>812</v>
      </c>
      <c r="AR21" s="60" t="s">
        <v>813</v>
      </c>
      <c r="AS21" s="62" t="s">
        <v>814</v>
      </c>
      <c r="AT21" s="62" t="s">
        <v>815</v>
      </c>
      <c r="AU21" s="62" t="s">
        <v>816</v>
      </c>
      <c r="AV21" s="62" t="s">
        <v>817</v>
      </c>
      <c r="AW21" s="63" t="s">
        <v>818</v>
      </c>
      <c r="AX21" s="60" t="s">
        <v>819</v>
      </c>
      <c r="AY21" s="63" t="s">
        <v>820</v>
      </c>
      <c r="AZ21" s="57" t="n">
        <v>28</v>
      </c>
      <c r="BA21" s="74" t="n">
        <v>8</v>
      </c>
      <c r="BB21" s="122" t="s">
        <v>821</v>
      </c>
      <c r="BC21" s="76" t="n">
        <v>0</v>
      </c>
      <c r="BD21" s="76"/>
    </row>
    <row r="22" customFormat="false" ht="18" hidden="false" customHeight="true" outlineLevel="0" collapsed="false">
      <c r="A22" s="87"/>
      <c r="B22" s="64" t="n">
        <v>17</v>
      </c>
      <c r="C22" s="65" t="s">
        <v>822</v>
      </c>
      <c r="D22" s="66" t="s">
        <v>823</v>
      </c>
      <c r="E22" s="67" t="s">
        <v>824</v>
      </c>
      <c r="F22" s="68" t="s">
        <v>825</v>
      </c>
      <c r="G22" s="67" t="s">
        <v>826</v>
      </c>
      <c r="H22" s="67" t="s">
        <v>827</v>
      </c>
      <c r="I22" s="68" t="s">
        <v>828</v>
      </c>
      <c r="J22" s="68" t="s">
        <v>829</v>
      </c>
      <c r="K22" s="68" t="s">
        <v>830</v>
      </c>
      <c r="L22" s="68" t="s">
        <v>831</v>
      </c>
      <c r="M22" s="68" t="s">
        <v>832</v>
      </c>
      <c r="N22" s="69" t="s">
        <v>833</v>
      </c>
      <c r="O22" s="66" t="s">
        <v>834</v>
      </c>
      <c r="P22" s="67" t="s">
        <v>835</v>
      </c>
      <c r="Q22" s="67" t="s">
        <v>836</v>
      </c>
      <c r="R22" s="67" t="s">
        <v>837</v>
      </c>
      <c r="S22" s="68" t="s">
        <v>838</v>
      </c>
      <c r="T22" s="61"/>
      <c r="U22" s="68" t="s">
        <v>839</v>
      </c>
      <c r="V22" s="68" t="s">
        <v>840</v>
      </c>
      <c r="W22" s="68" t="s">
        <v>841</v>
      </c>
      <c r="X22" s="68" t="s">
        <v>842</v>
      </c>
      <c r="Y22" s="68" t="s">
        <v>843</v>
      </c>
      <c r="Z22" s="69" t="s">
        <v>844</v>
      </c>
      <c r="AA22" s="66" t="s">
        <v>845</v>
      </c>
      <c r="AB22" s="68" t="s">
        <v>846</v>
      </c>
      <c r="AC22" s="68" t="s">
        <v>847</v>
      </c>
      <c r="AD22" s="68" t="s">
        <v>848</v>
      </c>
      <c r="AE22" s="68" t="s">
        <v>849</v>
      </c>
      <c r="AF22" s="68" t="s">
        <v>850</v>
      </c>
      <c r="AG22" s="68" t="s">
        <v>851</v>
      </c>
      <c r="AH22" s="69" t="s">
        <v>852</v>
      </c>
      <c r="AI22" s="66" t="s">
        <v>853</v>
      </c>
      <c r="AJ22" s="68" t="s">
        <v>854</v>
      </c>
      <c r="AK22" s="68" t="s">
        <v>855</v>
      </c>
      <c r="AL22" s="68" t="s">
        <v>856</v>
      </c>
      <c r="AM22" s="68" t="s">
        <v>857</v>
      </c>
      <c r="AN22" s="68" t="s">
        <v>858</v>
      </c>
      <c r="AO22" s="68" t="s">
        <v>859</v>
      </c>
      <c r="AP22" s="68" t="s">
        <v>860</v>
      </c>
      <c r="AQ22" s="69" t="s">
        <v>861</v>
      </c>
      <c r="AR22" s="66" t="s">
        <v>862</v>
      </c>
      <c r="AS22" s="68" t="s">
        <v>863</v>
      </c>
      <c r="AT22" s="68" t="s">
        <v>864</v>
      </c>
      <c r="AU22" s="68" t="s">
        <v>865</v>
      </c>
      <c r="AV22" s="68" t="s">
        <v>866</v>
      </c>
      <c r="AW22" s="69" t="s">
        <v>867</v>
      </c>
      <c r="AX22" s="66" t="s">
        <v>868</v>
      </c>
      <c r="AY22" s="69" t="s">
        <v>869</v>
      </c>
      <c r="AZ22" s="57" t="n">
        <v>24</v>
      </c>
      <c r="BA22" s="74" t="n">
        <v>9</v>
      </c>
      <c r="BB22" s="122" t="s">
        <v>870</v>
      </c>
      <c r="BC22" s="76" t="n">
        <v>0</v>
      </c>
      <c r="BD22" s="76"/>
    </row>
    <row r="23" customFormat="false" ht="18" hidden="false" customHeight="true" outlineLevel="0" collapsed="false">
      <c r="A23" s="87"/>
      <c r="B23" s="60" t="n">
        <v>18</v>
      </c>
      <c r="C23" s="59" t="s">
        <v>23</v>
      </c>
      <c r="D23" s="60" t="s">
        <v>871</v>
      </c>
      <c r="E23" s="62" t="s">
        <v>872</v>
      </c>
      <c r="F23" s="62" t="s">
        <v>873</v>
      </c>
      <c r="G23" s="62" t="s">
        <v>874</v>
      </c>
      <c r="H23" s="62" t="s">
        <v>875</v>
      </c>
      <c r="I23" s="62" t="s">
        <v>876</v>
      </c>
      <c r="J23" s="62" t="s">
        <v>877</v>
      </c>
      <c r="K23" s="62" t="s">
        <v>878</v>
      </c>
      <c r="L23" s="62" t="s">
        <v>879</v>
      </c>
      <c r="M23" s="62" t="s">
        <v>880</v>
      </c>
      <c r="N23" s="63" t="s">
        <v>881</v>
      </c>
      <c r="O23" s="60" t="s">
        <v>882</v>
      </c>
      <c r="P23" s="62" t="s">
        <v>883</v>
      </c>
      <c r="Q23" s="62" t="s">
        <v>884</v>
      </c>
      <c r="R23" s="62" t="s">
        <v>885</v>
      </c>
      <c r="S23" s="62" t="s">
        <v>886</v>
      </c>
      <c r="T23" s="62" t="s">
        <v>887</v>
      </c>
      <c r="U23" s="61"/>
      <c r="V23" s="62" t="s">
        <v>888</v>
      </c>
      <c r="W23" s="62" t="s">
        <v>889</v>
      </c>
      <c r="X23" s="62" t="s">
        <v>890</v>
      </c>
      <c r="Y23" s="62" t="s">
        <v>891</v>
      </c>
      <c r="Z23" s="63" t="s">
        <v>892</v>
      </c>
      <c r="AA23" s="60" t="s">
        <v>893</v>
      </c>
      <c r="AB23" s="62" t="s">
        <v>894</v>
      </c>
      <c r="AC23" s="62" t="s">
        <v>895</v>
      </c>
      <c r="AD23" s="62" t="s">
        <v>896</v>
      </c>
      <c r="AE23" s="62" t="s">
        <v>897</v>
      </c>
      <c r="AF23" s="62" t="s">
        <v>898</v>
      </c>
      <c r="AG23" s="62" t="s">
        <v>899</v>
      </c>
      <c r="AH23" s="63" t="s">
        <v>900</v>
      </c>
      <c r="AI23" s="60" t="s">
        <v>901</v>
      </c>
      <c r="AJ23" s="62" t="s">
        <v>902</v>
      </c>
      <c r="AK23" s="62" t="s">
        <v>903</v>
      </c>
      <c r="AL23" s="62" t="s">
        <v>904</v>
      </c>
      <c r="AM23" s="62" t="s">
        <v>905</v>
      </c>
      <c r="AN23" s="62" t="s">
        <v>906</v>
      </c>
      <c r="AO23" s="62" t="s">
        <v>907</v>
      </c>
      <c r="AP23" s="62" t="s">
        <v>908</v>
      </c>
      <c r="AQ23" s="63" t="s">
        <v>909</v>
      </c>
      <c r="AR23" s="60" t="s">
        <v>910</v>
      </c>
      <c r="AS23" s="62" t="s">
        <v>911</v>
      </c>
      <c r="AT23" s="62" t="s">
        <v>912</v>
      </c>
      <c r="AU23" s="62" t="s">
        <v>913</v>
      </c>
      <c r="AV23" s="62" t="s">
        <v>914</v>
      </c>
      <c r="AW23" s="63" t="s">
        <v>915</v>
      </c>
      <c r="AX23" s="60" t="s">
        <v>916</v>
      </c>
      <c r="AY23" s="63" t="s">
        <v>917</v>
      </c>
      <c r="AZ23" s="57" t="n">
        <v>3</v>
      </c>
      <c r="BA23" s="74" t="n">
        <v>10</v>
      </c>
      <c r="BB23" s="122" t="s">
        <v>918</v>
      </c>
      <c r="BC23" s="76" t="n">
        <v>0</v>
      </c>
      <c r="BD23" s="76"/>
    </row>
    <row r="24" customFormat="false" ht="18" hidden="false" customHeight="true" outlineLevel="0" collapsed="false">
      <c r="A24" s="87"/>
      <c r="B24" s="64" t="n">
        <v>19</v>
      </c>
      <c r="C24" s="65" t="s">
        <v>24</v>
      </c>
      <c r="D24" s="66" t="s">
        <v>919</v>
      </c>
      <c r="E24" s="67" t="s">
        <v>920</v>
      </c>
      <c r="F24" s="68" t="s">
        <v>921</v>
      </c>
      <c r="G24" s="67" t="s">
        <v>922</v>
      </c>
      <c r="H24" s="67" t="s">
        <v>923</v>
      </c>
      <c r="I24" s="68" t="s">
        <v>924</v>
      </c>
      <c r="J24" s="68" t="s">
        <v>925</v>
      </c>
      <c r="K24" s="68" t="s">
        <v>926</v>
      </c>
      <c r="L24" s="68" t="s">
        <v>927</v>
      </c>
      <c r="M24" s="68" t="s">
        <v>928</v>
      </c>
      <c r="N24" s="69" t="s">
        <v>929</v>
      </c>
      <c r="O24" s="66" t="s">
        <v>930</v>
      </c>
      <c r="P24" s="68" t="s">
        <v>931</v>
      </c>
      <c r="Q24" s="68" t="s">
        <v>932</v>
      </c>
      <c r="R24" s="68" t="s">
        <v>933</v>
      </c>
      <c r="S24" s="68" t="s">
        <v>934</v>
      </c>
      <c r="T24" s="67" t="s">
        <v>935</v>
      </c>
      <c r="U24" s="67" t="s">
        <v>936</v>
      </c>
      <c r="V24" s="61"/>
      <c r="W24" s="68" t="s">
        <v>937</v>
      </c>
      <c r="X24" s="68" t="s">
        <v>938</v>
      </c>
      <c r="Y24" s="68" t="s">
        <v>939</v>
      </c>
      <c r="Z24" s="69" t="s">
        <v>940</v>
      </c>
      <c r="AA24" s="66" t="s">
        <v>941</v>
      </c>
      <c r="AB24" s="68" t="s">
        <v>942</v>
      </c>
      <c r="AC24" s="68" t="s">
        <v>943</v>
      </c>
      <c r="AD24" s="68" t="s">
        <v>944</v>
      </c>
      <c r="AE24" s="68" t="s">
        <v>945</v>
      </c>
      <c r="AF24" s="68" t="s">
        <v>946</v>
      </c>
      <c r="AG24" s="68" t="s">
        <v>947</v>
      </c>
      <c r="AH24" s="69" t="s">
        <v>948</v>
      </c>
      <c r="AI24" s="66" t="s">
        <v>949</v>
      </c>
      <c r="AJ24" s="68" t="s">
        <v>950</v>
      </c>
      <c r="AK24" s="68" t="s">
        <v>951</v>
      </c>
      <c r="AL24" s="68" t="s">
        <v>952</v>
      </c>
      <c r="AM24" s="68" t="s">
        <v>953</v>
      </c>
      <c r="AN24" s="68" t="s">
        <v>954</v>
      </c>
      <c r="AO24" s="68" t="s">
        <v>955</v>
      </c>
      <c r="AP24" s="68" t="s">
        <v>956</v>
      </c>
      <c r="AQ24" s="69" t="s">
        <v>957</v>
      </c>
      <c r="AR24" s="66" t="s">
        <v>958</v>
      </c>
      <c r="AS24" s="68" t="s">
        <v>959</v>
      </c>
      <c r="AT24" s="68" t="s">
        <v>960</v>
      </c>
      <c r="AU24" s="68" t="s">
        <v>961</v>
      </c>
      <c r="AV24" s="68" t="s">
        <v>962</v>
      </c>
      <c r="AW24" s="69" t="s">
        <v>963</v>
      </c>
      <c r="AX24" s="66" t="s">
        <v>964</v>
      </c>
      <c r="AY24" s="69" t="s">
        <v>965</v>
      </c>
      <c r="AZ24" s="57" t="n">
        <v>11</v>
      </c>
      <c r="BA24" s="74" t="n">
        <v>11</v>
      </c>
      <c r="BB24" s="122" t="s">
        <v>966</v>
      </c>
      <c r="BC24" s="76" t="n">
        <v>0</v>
      </c>
      <c r="BD24" s="76"/>
    </row>
    <row r="25" customFormat="false" ht="18" hidden="false" customHeight="true" outlineLevel="0" collapsed="false">
      <c r="A25" s="87"/>
      <c r="B25" s="60" t="n">
        <v>20</v>
      </c>
      <c r="C25" s="59" t="s">
        <v>25</v>
      </c>
      <c r="D25" s="60" t="s">
        <v>967</v>
      </c>
      <c r="E25" s="62" t="s">
        <v>968</v>
      </c>
      <c r="F25" s="62" t="s">
        <v>969</v>
      </c>
      <c r="G25" s="62" t="s">
        <v>970</v>
      </c>
      <c r="H25" s="62" t="s">
        <v>971</v>
      </c>
      <c r="I25" s="62" t="s">
        <v>972</v>
      </c>
      <c r="J25" s="62" t="s">
        <v>973</v>
      </c>
      <c r="K25" s="62" t="s">
        <v>974</v>
      </c>
      <c r="L25" s="62" t="s">
        <v>975</v>
      </c>
      <c r="M25" s="62" t="s">
        <v>976</v>
      </c>
      <c r="N25" s="63" t="s">
        <v>977</v>
      </c>
      <c r="O25" s="60" t="s">
        <v>978</v>
      </c>
      <c r="P25" s="62" t="s">
        <v>979</v>
      </c>
      <c r="Q25" s="62" t="s">
        <v>980</v>
      </c>
      <c r="R25" s="62" t="s">
        <v>981</v>
      </c>
      <c r="S25" s="62" t="s">
        <v>982</v>
      </c>
      <c r="T25" s="62" t="s">
        <v>983</v>
      </c>
      <c r="U25" s="62" t="s">
        <v>984</v>
      </c>
      <c r="V25" s="62" t="s">
        <v>985</v>
      </c>
      <c r="W25" s="61"/>
      <c r="X25" s="62" t="s">
        <v>986</v>
      </c>
      <c r="Y25" s="62" t="s">
        <v>987</v>
      </c>
      <c r="Z25" s="63" t="s">
        <v>988</v>
      </c>
      <c r="AA25" s="60" t="s">
        <v>989</v>
      </c>
      <c r="AB25" s="62" t="s">
        <v>990</v>
      </c>
      <c r="AC25" s="62" t="s">
        <v>991</v>
      </c>
      <c r="AD25" s="62" t="s">
        <v>992</v>
      </c>
      <c r="AE25" s="62" t="s">
        <v>993</v>
      </c>
      <c r="AF25" s="62" t="s">
        <v>994</v>
      </c>
      <c r="AG25" s="62" t="s">
        <v>995</v>
      </c>
      <c r="AH25" s="63" t="s">
        <v>996</v>
      </c>
      <c r="AI25" s="60" t="s">
        <v>997</v>
      </c>
      <c r="AJ25" s="62" t="s">
        <v>998</v>
      </c>
      <c r="AK25" s="62" t="s">
        <v>999</v>
      </c>
      <c r="AL25" s="62" t="s">
        <v>1000</v>
      </c>
      <c r="AM25" s="62" t="s">
        <v>1001</v>
      </c>
      <c r="AN25" s="62" t="s">
        <v>1002</v>
      </c>
      <c r="AO25" s="62" t="s">
        <v>1003</v>
      </c>
      <c r="AP25" s="62" t="s">
        <v>1004</v>
      </c>
      <c r="AQ25" s="63" t="s">
        <v>1005</v>
      </c>
      <c r="AR25" s="60" t="s">
        <v>1006</v>
      </c>
      <c r="AS25" s="62" t="s">
        <v>1007</v>
      </c>
      <c r="AT25" s="62" t="s">
        <v>1008</v>
      </c>
      <c r="AU25" s="62" t="s">
        <v>1009</v>
      </c>
      <c r="AV25" s="62" t="s">
        <v>1010</v>
      </c>
      <c r="AW25" s="63" t="s">
        <v>1011</v>
      </c>
      <c r="AX25" s="60" t="s">
        <v>1012</v>
      </c>
      <c r="AY25" s="63" t="s">
        <v>1013</v>
      </c>
      <c r="AZ25" s="57" t="n">
        <v>25</v>
      </c>
      <c r="BA25" s="74" t="n">
        <v>12</v>
      </c>
      <c r="BB25" s="122" t="s">
        <v>1014</v>
      </c>
      <c r="BC25" s="76" t="n">
        <v>0</v>
      </c>
      <c r="BD25" s="76"/>
    </row>
    <row r="26" customFormat="false" ht="18" hidden="false" customHeight="true" outlineLevel="0" collapsed="false">
      <c r="A26" s="87"/>
      <c r="B26" s="64" t="n">
        <v>21</v>
      </c>
      <c r="C26" s="65" t="s">
        <v>26</v>
      </c>
      <c r="D26" s="66" t="s">
        <v>1015</v>
      </c>
      <c r="E26" s="67" t="s">
        <v>1016</v>
      </c>
      <c r="F26" s="68" t="s">
        <v>1017</v>
      </c>
      <c r="G26" s="67" t="s">
        <v>1018</v>
      </c>
      <c r="H26" s="67" t="s">
        <v>1019</v>
      </c>
      <c r="I26" s="68" t="s">
        <v>1020</v>
      </c>
      <c r="J26" s="68" t="s">
        <v>1021</v>
      </c>
      <c r="K26" s="68" t="s">
        <v>1022</v>
      </c>
      <c r="L26" s="68" t="s">
        <v>1023</v>
      </c>
      <c r="M26" s="68" t="s">
        <v>1024</v>
      </c>
      <c r="N26" s="69" t="s">
        <v>1025</v>
      </c>
      <c r="O26" s="66" t="s">
        <v>1026</v>
      </c>
      <c r="P26" s="68" t="s">
        <v>1027</v>
      </c>
      <c r="Q26" s="68" t="s">
        <v>1028</v>
      </c>
      <c r="R26" s="68" t="s">
        <v>1029</v>
      </c>
      <c r="S26" s="68" t="s">
        <v>1030</v>
      </c>
      <c r="T26" s="68" t="s">
        <v>1031</v>
      </c>
      <c r="U26" s="68" t="s">
        <v>1032</v>
      </c>
      <c r="V26" s="67" t="s">
        <v>1033</v>
      </c>
      <c r="W26" s="67" t="s">
        <v>1034</v>
      </c>
      <c r="X26" s="61"/>
      <c r="Y26" s="68" t="s">
        <v>1035</v>
      </c>
      <c r="Z26" s="69" t="s">
        <v>1036</v>
      </c>
      <c r="AA26" s="66" t="s">
        <v>1037</v>
      </c>
      <c r="AB26" s="68" t="s">
        <v>1038</v>
      </c>
      <c r="AC26" s="68" t="s">
        <v>1039</v>
      </c>
      <c r="AD26" s="68" t="s">
        <v>1040</v>
      </c>
      <c r="AE26" s="68" t="s">
        <v>1041</v>
      </c>
      <c r="AF26" s="68" t="s">
        <v>1042</v>
      </c>
      <c r="AG26" s="68" t="s">
        <v>1043</v>
      </c>
      <c r="AH26" s="69" t="s">
        <v>1044</v>
      </c>
      <c r="AI26" s="66" t="s">
        <v>1045</v>
      </c>
      <c r="AJ26" s="68" t="s">
        <v>1046</v>
      </c>
      <c r="AK26" s="68" t="s">
        <v>1047</v>
      </c>
      <c r="AL26" s="68" t="s">
        <v>1048</v>
      </c>
      <c r="AM26" s="68" t="s">
        <v>1049</v>
      </c>
      <c r="AN26" s="68" t="s">
        <v>1050</v>
      </c>
      <c r="AO26" s="68" t="s">
        <v>1051</v>
      </c>
      <c r="AP26" s="68" t="s">
        <v>1052</v>
      </c>
      <c r="AQ26" s="69" t="s">
        <v>1053</v>
      </c>
      <c r="AR26" s="66" t="s">
        <v>1054</v>
      </c>
      <c r="AS26" s="68" t="s">
        <v>1055</v>
      </c>
      <c r="AT26" s="68" t="s">
        <v>1056</v>
      </c>
      <c r="AU26" s="68" t="s">
        <v>1057</v>
      </c>
      <c r="AV26" s="68" t="s">
        <v>1058</v>
      </c>
      <c r="AW26" s="69" t="s">
        <v>1059</v>
      </c>
      <c r="AX26" s="66" t="s">
        <v>1060</v>
      </c>
      <c r="AY26" s="69" t="s">
        <v>1061</v>
      </c>
      <c r="AZ26" s="57" t="n">
        <v>27</v>
      </c>
      <c r="BA26" s="74" t="n">
        <v>13</v>
      </c>
      <c r="BB26" s="122" t="s">
        <v>1062</v>
      </c>
      <c r="BC26" s="76" t="n">
        <v>0</v>
      </c>
      <c r="BD26" s="76"/>
    </row>
    <row r="27" customFormat="false" ht="18" hidden="false" customHeight="true" outlineLevel="0" collapsed="false">
      <c r="A27" s="87"/>
      <c r="B27" s="60" t="n">
        <v>22</v>
      </c>
      <c r="C27" s="59" t="s">
        <v>27</v>
      </c>
      <c r="D27" s="60" t="s">
        <v>1063</v>
      </c>
      <c r="E27" s="62" t="s">
        <v>1064</v>
      </c>
      <c r="F27" s="62" t="s">
        <v>1065</v>
      </c>
      <c r="G27" s="62" t="s">
        <v>1066</v>
      </c>
      <c r="H27" s="62" t="s">
        <v>1067</v>
      </c>
      <c r="I27" s="62" t="s">
        <v>1068</v>
      </c>
      <c r="J27" s="62" t="s">
        <v>1069</v>
      </c>
      <c r="K27" s="62" t="s">
        <v>1070</v>
      </c>
      <c r="L27" s="62" t="s">
        <v>1071</v>
      </c>
      <c r="M27" s="62" t="s">
        <v>1072</v>
      </c>
      <c r="N27" s="63" t="s">
        <v>1073</v>
      </c>
      <c r="O27" s="60" t="s">
        <v>1074</v>
      </c>
      <c r="P27" s="62" t="s">
        <v>1075</v>
      </c>
      <c r="Q27" s="62" t="s">
        <v>1076</v>
      </c>
      <c r="R27" s="62" t="s">
        <v>1077</v>
      </c>
      <c r="S27" s="62" t="s">
        <v>1078</v>
      </c>
      <c r="T27" s="62" t="s">
        <v>1079</v>
      </c>
      <c r="U27" s="62" t="s">
        <v>1080</v>
      </c>
      <c r="V27" s="62" t="s">
        <v>1081</v>
      </c>
      <c r="W27" s="62" t="s">
        <v>1082</v>
      </c>
      <c r="X27" s="62" t="s">
        <v>1083</v>
      </c>
      <c r="Y27" s="61"/>
      <c r="Z27" s="63" t="s">
        <v>1084</v>
      </c>
      <c r="AA27" s="60" t="s">
        <v>1085</v>
      </c>
      <c r="AB27" s="62" t="s">
        <v>1086</v>
      </c>
      <c r="AC27" s="62" t="s">
        <v>1087</v>
      </c>
      <c r="AD27" s="62" t="s">
        <v>1088</v>
      </c>
      <c r="AE27" s="62" t="s">
        <v>1089</v>
      </c>
      <c r="AF27" s="62" t="s">
        <v>1090</v>
      </c>
      <c r="AG27" s="62" t="s">
        <v>1091</v>
      </c>
      <c r="AH27" s="63" t="s">
        <v>1092</v>
      </c>
      <c r="AI27" s="60" t="s">
        <v>1093</v>
      </c>
      <c r="AJ27" s="62" t="s">
        <v>1094</v>
      </c>
      <c r="AK27" s="62" t="s">
        <v>1095</v>
      </c>
      <c r="AL27" s="62" t="s">
        <v>1096</v>
      </c>
      <c r="AM27" s="62" t="s">
        <v>1097</v>
      </c>
      <c r="AN27" s="62" t="s">
        <v>1098</v>
      </c>
      <c r="AO27" s="62" t="s">
        <v>1099</v>
      </c>
      <c r="AP27" s="62" t="s">
        <v>1100</v>
      </c>
      <c r="AQ27" s="63" t="s">
        <v>1101</v>
      </c>
      <c r="AR27" s="60" t="s">
        <v>1102</v>
      </c>
      <c r="AS27" s="62" t="s">
        <v>1103</v>
      </c>
      <c r="AT27" s="62" t="s">
        <v>1104</v>
      </c>
      <c r="AU27" s="62" t="s">
        <v>1105</v>
      </c>
      <c r="AV27" s="62" t="s">
        <v>1106</v>
      </c>
      <c r="AW27" s="63" t="s">
        <v>1107</v>
      </c>
      <c r="AX27" s="60" t="s">
        <v>1108</v>
      </c>
      <c r="AY27" s="63" t="s">
        <v>1109</v>
      </c>
      <c r="AZ27" s="57" t="n">
        <v>9</v>
      </c>
      <c r="BA27" s="74" t="n">
        <v>14</v>
      </c>
      <c r="BB27" s="122" t="s">
        <v>1110</v>
      </c>
      <c r="BC27" s="76" t="n">
        <v>0</v>
      </c>
      <c r="BD27" s="76"/>
    </row>
    <row r="28" customFormat="false" ht="18" hidden="false" customHeight="true" outlineLevel="0" collapsed="false">
      <c r="A28" s="87"/>
      <c r="B28" s="78" t="n">
        <v>23</v>
      </c>
      <c r="C28" s="79" t="s">
        <v>1111</v>
      </c>
      <c r="D28" s="84" t="s">
        <v>1112</v>
      </c>
      <c r="E28" s="97" t="s">
        <v>1113</v>
      </c>
      <c r="F28" s="85" t="s">
        <v>1114</v>
      </c>
      <c r="G28" s="97" t="s">
        <v>1115</v>
      </c>
      <c r="H28" s="97" t="s">
        <v>1116</v>
      </c>
      <c r="I28" s="85" t="s">
        <v>1117</v>
      </c>
      <c r="J28" s="85" t="s">
        <v>1118</v>
      </c>
      <c r="K28" s="85" t="s">
        <v>1119</v>
      </c>
      <c r="L28" s="85" t="s">
        <v>1120</v>
      </c>
      <c r="M28" s="85" t="s">
        <v>1121</v>
      </c>
      <c r="N28" s="86" t="s">
        <v>1122</v>
      </c>
      <c r="O28" s="84" t="s">
        <v>1123</v>
      </c>
      <c r="P28" s="85" t="s">
        <v>1124</v>
      </c>
      <c r="Q28" s="85" t="s">
        <v>1125</v>
      </c>
      <c r="R28" s="85" t="s">
        <v>1126</v>
      </c>
      <c r="S28" s="85" t="s">
        <v>1127</v>
      </c>
      <c r="T28" s="85" t="s">
        <v>1128</v>
      </c>
      <c r="U28" s="85" t="s">
        <v>1129</v>
      </c>
      <c r="V28" s="85" t="s">
        <v>1130</v>
      </c>
      <c r="W28" s="85" t="s">
        <v>1131</v>
      </c>
      <c r="X28" s="97" t="s">
        <v>1132</v>
      </c>
      <c r="Y28" s="85" t="s">
        <v>1133</v>
      </c>
      <c r="Z28" s="98"/>
      <c r="AA28" s="84" t="s">
        <v>1134</v>
      </c>
      <c r="AB28" s="85" t="s">
        <v>1135</v>
      </c>
      <c r="AC28" s="85" t="s">
        <v>1136</v>
      </c>
      <c r="AD28" s="85" t="s">
        <v>1137</v>
      </c>
      <c r="AE28" s="85" t="s">
        <v>1138</v>
      </c>
      <c r="AF28" s="85" t="s">
        <v>1139</v>
      </c>
      <c r="AG28" s="85" t="s">
        <v>1140</v>
      </c>
      <c r="AH28" s="86" t="s">
        <v>1141</v>
      </c>
      <c r="AI28" s="84" t="s">
        <v>1142</v>
      </c>
      <c r="AJ28" s="85" t="s">
        <v>1143</v>
      </c>
      <c r="AK28" s="85" t="s">
        <v>1144</v>
      </c>
      <c r="AL28" s="85" t="s">
        <v>1145</v>
      </c>
      <c r="AM28" s="85" t="s">
        <v>1146</v>
      </c>
      <c r="AN28" s="85" t="s">
        <v>1147</v>
      </c>
      <c r="AO28" s="85" t="s">
        <v>1148</v>
      </c>
      <c r="AP28" s="85" t="s">
        <v>1149</v>
      </c>
      <c r="AQ28" s="86" t="s">
        <v>1150</v>
      </c>
      <c r="AR28" s="84" t="s">
        <v>1151</v>
      </c>
      <c r="AS28" s="85" t="s">
        <v>1152</v>
      </c>
      <c r="AT28" s="85" t="s">
        <v>1153</v>
      </c>
      <c r="AU28" s="85" t="s">
        <v>1154</v>
      </c>
      <c r="AV28" s="85" t="s">
        <v>1155</v>
      </c>
      <c r="AW28" s="86" t="s">
        <v>1156</v>
      </c>
      <c r="AX28" s="84" t="s">
        <v>1157</v>
      </c>
      <c r="AY28" s="86" t="s">
        <v>1158</v>
      </c>
      <c r="AZ28" s="57" t="n">
        <v>2</v>
      </c>
      <c r="BA28" s="74" t="n">
        <v>15</v>
      </c>
      <c r="BB28" s="122" t="s">
        <v>1159</v>
      </c>
      <c r="BC28" s="76" t="n">
        <v>0</v>
      </c>
      <c r="BD28" s="76"/>
    </row>
    <row r="29" customFormat="false" ht="18" hidden="false" customHeight="true" outlineLevel="0" collapsed="false">
      <c r="A29" s="100" t="s">
        <v>2</v>
      </c>
      <c r="B29" s="88" t="n">
        <v>24</v>
      </c>
      <c r="C29" s="91" t="s">
        <v>29</v>
      </c>
      <c r="D29" s="88" t="s">
        <v>1160</v>
      </c>
      <c r="E29" s="90" t="s">
        <v>1161</v>
      </c>
      <c r="F29" s="90" t="s">
        <v>1162</v>
      </c>
      <c r="G29" s="90" t="s">
        <v>1163</v>
      </c>
      <c r="H29" s="90" t="s">
        <v>1164</v>
      </c>
      <c r="I29" s="90" t="s">
        <v>1165</v>
      </c>
      <c r="J29" s="90" t="s">
        <v>1166</v>
      </c>
      <c r="K29" s="90" t="s">
        <v>1167</v>
      </c>
      <c r="L29" s="90" t="s">
        <v>1168</v>
      </c>
      <c r="M29" s="90" t="s">
        <v>1169</v>
      </c>
      <c r="N29" s="91" t="s">
        <v>1170</v>
      </c>
      <c r="O29" s="88" t="s">
        <v>1171</v>
      </c>
      <c r="P29" s="90" t="s">
        <v>1172</v>
      </c>
      <c r="Q29" s="90" t="s">
        <v>1173</v>
      </c>
      <c r="R29" s="90" t="s">
        <v>1174</v>
      </c>
      <c r="S29" s="90" t="s">
        <v>1175</v>
      </c>
      <c r="T29" s="90" t="s">
        <v>1176</v>
      </c>
      <c r="U29" s="90" t="s">
        <v>1177</v>
      </c>
      <c r="V29" s="90" t="s">
        <v>1178</v>
      </c>
      <c r="W29" s="90" t="s">
        <v>1179</v>
      </c>
      <c r="X29" s="90" t="s">
        <v>1180</v>
      </c>
      <c r="Y29" s="90" t="s">
        <v>1181</v>
      </c>
      <c r="Z29" s="91" t="s">
        <v>1182</v>
      </c>
      <c r="AA29" s="53"/>
      <c r="AB29" s="90" t="s">
        <v>1183</v>
      </c>
      <c r="AC29" s="90" t="s">
        <v>1184</v>
      </c>
      <c r="AD29" s="90" t="s">
        <v>1185</v>
      </c>
      <c r="AE29" s="90" t="s">
        <v>1186</v>
      </c>
      <c r="AF29" s="90" t="s">
        <v>1187</v>
      </c>
      <c r="AG29" s="90" t="s">
        <v>1188</v>
      </c>
      <c r="AH29" s="91" t="s">
        <v>1189</v>
      </c>
      <c r="AI29" s="88" t="s">
        <v>1190</v>
      </c>
      <c r="AJ29" s="90" t="s">
        <v>1191</v>
      </c>
      <c r="AK29" s="90" t="s">
        <v>1192</v>
      </c>
      <c r="AL29" s="90" t="s">
        <v>1193</v>
      </c>
      <c r="AM29" s="90" t="s">
        <v>1194</v>
      </c>
      <c r="AN29" s="90" t="s">
        <v>1195</v>
      </c>
      <c r="AO29" s="90" t="s">
        <v>1196</v>
      </c>
      <c r="AP29" s="90" t="s">
        <v>1197</v>
      </c>
      <c r="AQ29" s="91" t="s">
        <v>1198</v>
      </c>
      <c r="AR29" s="88" t="s">
        <v>1199</v>
      </c>
      <c r="AS29" s="90" t="s">
        <v>1200</v>
      </c>
      <c r="AT29" s="90" t="s">
        <v>1201</v>
      </c>
      <c r="AU29" s="90" t="s">
        <v>1202</v>
      </c>
      <c r="AV29" s="90" t="s">
        <v>1203</v>
      </c>
      <c r="AW29" s="91" t="s">
        <v>1204</v>
      </c>
      <c r="AX29" s="88" t="s">
        <v>1205</v>
      </c>
      <c r="AY29" s="91" t="s">
        <v>1206</v>
      </c>
      <c r="AZ29" s="57" t="n">
        <v>12</v>
      </c>
      <c r="BA29" s="74" t="n">
        <v>16</v>
      </c>
      <c r="BB29" s="122" t="s">
        <v>1207</v>
      </c>
      <c r="BC29" s="76" t="n">
        <v>0</v>
      </c>
      <c r="BD29" s="76"/>
    </row>
    <row r="30" customFormat="false" ht="18" hidden="false" customHeight="true" outlineLevel="0" collapsed="false">
      <c r="A30" s="100"/>
      <c r="B30" s="64" t="n">
        <v>25</v>
      </c>
      <c r="C30" s="101" t="s">
        <v>30</v>
      </c>
      <c r="D30" s="66" t="s">
        <v>1208</v>
      </c>
      <c r="E30" s="68" t="s">
        <v>1209</v>
      </c>
      <c r="F30" s="68" t="s">
        <v>1210</v>
      </c>
      <c r="G30" s="68" t="s">
        <v>1211</v>
      </c>
      <c r="H30" s="68" t="s">
        <v>1212</v>
      </c>
      <c r="I30" s="68" t="s">
        <v>1213</v>
      </c>
      <c r="J30" s="68" t="s">
        <v>1214</v>
      </c>
      <c r="K30" s="68" t="s">
        <v>1215</v>
      </c>
      <c r="L30" s="68" t="s">
        <v>1216</v>
      </c>
      <c r="M30" s="68" t="s">
        <v>1217</v>
      </c>
      <c r="N30" s="69" t="s">
        <v>1218</v>
      </c>
      <c r="O30" s="66" t="s">
        <v>1219</v>
      </c>
      <c r="P30" s="68" t="s">
        <v>1220</v>
      </c>
      <c r="Q30" s="68" t="s">
        <v>1221</v>
      </c>
      <c r="R30" s="68" t="s">
        <v>1222</v>
      </c>
      <c r="S30" s="68" t="s">
        <v>1223</v>
      </c>
      <c r="T30" s="68" t="s">
        <v>1224</v>
      </c>
      <c r="U30" s="68" t="s">
        <v>1225</v>
      </c>
      <c r="V30" s="68" t="s">
        <v>1226</v>
      </c>
      <c r="W30" s="68" t="s">
        <v>1227</v>
      </c>
      <c r="X30" s="68" t="s">
        <v>1228</v>
      </c>
      <c r="Y30" s="67" t="s">
        <v>1229</v>
      </c>
      <c r="Z30" s="92" t="s">
        <v>1230</v>
      </c>
      <c r="AA30" s="64" t="s">
        <v>1231</v>
      </c>
      <c r="AB30" s="61"/>
      <c r="AC30" s="67" t="s">
        <v>1232</v>
      </c>
      <c r="AD30" s="67" t="s">
        <v>1233</v>
      </c>
      <c r="AE30" s="67" t="s">
        <v>1234</v>
      </c>
      <c r="AF30" s="67" t="s">
        <v>1235</v>
      </c>
      <c r="AG30" s="67" t="s">
        <v>1236</v>
      </c>
      <c r="AH30" s="92" t="s">
        <v>1237</v>
      </c>
      <c r="AI30" s="64" t="s">
        <v>1238</v>
      </c>
      <c r="AJ30" s="67" t="s">
        <v>1239</v>
      </c>
      <c r="AK30" s="67" t="s">
        <v>1240</v>
      </c>
      <c r="AL30" s="67" t="s">
        <v>1241</v>
      </c>
      <c r="AM30" s="67" t="s">
        <v>1242</v>
      </c>
      <c r="AN30" s="67" t="s">
        <v>1243</v>
      </c>
      <c r="AO30" s="67" t="s">
        <v>1244</v>
      </c>
      <c r="AP30" s="67" t="s">
        <v>1245</v>
      </c>
      <c r="AQ30" s="92" t="s">
        <v>1246</v>
      </c>
      <c r="AR30" s="64" t="s">
        <v>1247</v>
      </c>
      <c r="AS30" s="67" t="s">
        <v>1248</v>
      </c>
      <c r="AT30" s="67" t="s">
        <v>1249</v>
      </c>
      <c r="AU30" s="67" t="s">
        <v>1250</v>
      </c>
      <c r="AV30" s="67" t="s">
        <v>1251</v>
      </c>
      <c r="AW30" s="92" t="s">
        <v>1252</v>
      </c>
      <c r="AX30" s="64" t="s">
        <v>1253</v>
      </c>
      <c r="AY30" s="92" t="s">
        <v>1254</v>
      </c>
      <c r="AZ30" s="57" t="n">
        <v>8</v>
      </c>
      <c r="BA30" s="74" t="n">
        <v>17</v>
      </c>
      <c r="BB30" s="122" t="s">
        <v>1255</v>
      </c>
      <c r="BC30" s="76" t="n">
        <v>0</v>
      </c>
      <c r="BD30" s="76"/>
    </row>
    <row r="31" customFormat="false" ht="18" hidden="false" customHeight="true" outlineLevel="0" collapsed="false">
      <c r="A31" s="100"/>
      <c r="B31" s="60" t="n">
        <v>26</v>
      </c>
      <c r="C31" s="63" t="s">
        <v>31</v>
      </c>
      <c r="D31" s="60" t="s">
        <v>1256</v>
      </c>
      <c r="E31" s="62" t="s">
        <v>1257</v>
      </c>
      <c r="F31" s="62" t="s">
        <v>1258</v>
      </c>
      <c r="G31" s="62" t="s">
        <v>1259</v>
      </c>
      <c r="H31" s="62" t="s">
        <v>1260</v>
      </c>
      <c r="I31" s="62" t="s">
        <v>1261</v>
      </c>
      <c r="J31" s="62" t="s">
        <v>1262</v>
      </c>
      <c r="K31" s="62" t="s">
        <v>1263</v>
      </c>
      <c r="L31" s="62" t="s">
        <v>1264</v>
      </c>
      <c r="M31" s="62" t="s">
        <v>1265</v>
      </c>
      <c r="N31" s="63" t="s">
        <v>1266</v>
      </c>
      <c r="O31" s="60" t="s">
        <v>1267</v>
      </c>
      <c r="P31" s="62" t="s">
        <v>1268</v>
      </c>
      <c r="Q31" s="62" t="s">
        <v>1269</v>
      </c>
      <c r="R31" s="62" t="s">
        <v>1270</v>
      </c>
      <c r="S31" s="62" t="s">
        <v>1271</v>
      </c>
      <c r="T31" s="62" t="s">
        <v>1272</v>
      </c>
      <c r="U31" s="62" t="s">
        <v>1273</v>
      </c>
      <c r="V31" s="62" t="s">
        <v>1274</v>
      </c>
      <c r="W31" s="62" t="s">
        <v>1275</v>
      </c>
      <c r="X31" s="62" t="s">
        <v>1276</v>
      </c>
      <c r="Y31" s="62" t="s">
        <v>1277</v>
      </c>
      <c r="Z31" s="63" t="s">
        <v>1278</v>
      </c>
      <c r="AA31" s="60" t="s">
        <v>1279</v>
      </c>
      <c r="AB31" s="62" t="s">
        <v>1280</v>
      </c>
      <c r="AC31" s="61"/>
      <c r="AD31" s="62" t="s">
        <v>1281</v>
      </c>
      <c r="AE31" s="62" t="s">
        <v>1282</v>
      </c>
      <c r="AF31" s="62" t="s">
        <v>1283</v>
      </c>
      <c r="AG31" s="62" t="s">
        <v>1284</v>
      </c>
      <c r="AH31" s="63" t="s">
        <v>1285</v>
      </c>
      <c r="AI31" s="60" t="s">
        <v>1286</v>
      </c>
      <c r="AJ31" s="62" t="s">
        <v>1287</v>
      </c>
      <c r="AK31" s="62" t="s">
        <v>1288</v>
      </c>
      <c r="AL31" s="62" t="s">
        <v>1289</v>
      </c>
      <c r="AM31" s="62" t="s">
        <v>1290</v>
      </c>
      <c r="AN31" s="62" t="s">
        <v>1291</v>
      </c>
      <c r="AO31" s="62" t="s">
        <v>1292</v>
      </c>
      <c r="AP31" s="62" t="s">
        <v>1293</v>
      </c>
      <c r="AQ31" s="63" t="s">
        <v>1294</v>
      </c>
      <c r="AR31" s="60" t="s">
        <v>1295</v>
      </c>
      <c r="AS31" s="62" t="s">
        <v>1296</v>
      </c>
      <c r="AT31" s="62" t="s">
        <v>1297</v>
      </c>
      <c r="AU31" s="62" t="s">
        <v>1298</v>
      </c>
      <c r="AV31" s="62" t="s">
        <v>1299</v>
      </c>
      <c r="AW31" s="63" t="s">
        <v>1300</v>
      </c>
      <c r="AX31" s="60" t="s">
        <v>1301</v>
      </c>
      <c r="AY31" s="63" t="s">
        <v>1302</v>
      </c>
      <c r="AZ31" s="57" t="n">
        <v>17</v>
      </c>
      <c r="BA31" s="74" t="n">
        <v>18</v>
      </c>
      <c r="BB31" s="122" t="s">
        <v>1303</v>
      </c>
      <c r="BC31" s="76" t="n">
        <v>0</v>
      </c>
      <c r="BD31" s="76"/>
    </row>
    <row r="32" customFormat="false" ht="18" hidden="false" customHeight="true" outlineLevel="0" collapsed="false">
      <c r="A32" s="100"/>
      <c r="B32" s="64" t="n">
        <v>27</v>
      </c>
      <c r="C32" s="101" t="s">
        <v>32</v>
      </c>
      <c r="D32" s="66" t="s">
        <v>1304</v>
      </c>
      <c r="E32" s="68" t="s">
        <v>1305</v>
      </c>
      <c r="F32" s="68" t="s">
        <v>1306</v>
      </c>
      <c r="G32" s="68" t="s">
        <v>1307</v>
      </c>
      <c r="H32" s="68" t="s">
        <v>1308</v>
      </c>
      <c r="I32" s="68" t="s">
        <v>1309</v>
      </c>
      <c r="J32" s="68" t="s">
        <v>1310</v>
      </c>
      <c r="K32" s="68" t="s">
        <v>1311</v>
      </c>
      <c r="L32" s="68" t="s">
        <v>1312</v>
      </c>
      <c r="M32" s="68" t="s">
        <v>1313</v>
      </c>
      <c r="N32" s="69" t="s">
        <v>1314</v>
      </c>
      <c r="O32" s="66" t="s">
        <v>1315</v>
      </c>
      <c r="P32" s="68" t="s">
        <v>1316</v>
      </c>
      <c r="Q32" s="68" t="s">
        <v>1317</v>
      </c>
      <c r="R32" s="68" t="s">
        <v>1318</v>
      </c>
      <c r="S32" s="68" t="s">
        <v>1319</v>
      </c>
      <c r="T32" s="68" t="s">
        <v>1320</v>
      </c>
      <c r="U32" s="68" t="s">
        <v>1321</v>
      </c>
      <c r="V32" s="68" t="s">
        <v>1322</v>
      </c>
      <c r="W32" s="68" t="s">
        <v>1323</v>
      </c>
      <c r="X32" s="68" t="s">
        <v>1324</v>
      </c>
      <c r="Y32" s="67" t="s">
        <v>1325</v>
      </c>
      <c r="Z32" s="92" t="s">
        <v>1326</v>
      </c>
      <c r="AA32" s="64" t="s">
        <v>1327</v>
      </c>
      <c r="AB32" s="67" t="s">
        <v>1328</v>
      </c>
      <c r="AC32" s="67" t="s">
        <v>1329</v>
      </c>
      <c r="AD32" s="61"/>
      <c r="AE32" s="67" t="s">
        <v>1330</v>
      </c>
      <c r="AF32" s="67" t="s">
        <v>1331</v>
      </c>
      <c r="AG32" s="67" t="s">
        <v>1332</v>
      </c>
      <c r="AH32" s="92" t="s">
        <v>1333</v>
      </c>
      <c r="AI32" s="64" t="s">
        <v>1334</v>
      </c>
      <c r="AJ32" s="67" t="s">
        <v>1335</v>
      </c>
      <c r="AK32" s="67" t="s">
        <v>1336</v>
      </c>
      <c r="AL32" s="67" t="s">
        <v>1337</v>
      </c>
      <c r="AM32" s="67" t="s">
        <v>1338</v>
      </c>
      <c r="AN32" s="67" t="s">
        <v>1339</v>
      </c>
      <c r="AO32" s="67" t="s">
        <v>1340</v>
      </c>
      <c r="AP32" s="67" t="s">
        <v>1341</v>
      </c>
      <c r="AQ32" s="92" t="s">
        <v>1342</v>
      </c>
      <c r="AR32" s="64" t="s">
        <v>1343</v>
      </c>
      <c r="AS32" s="67" t="s">
        <v>1344</v>
      </c>
      <c r="AT32" s="67" t="s">
        <v>1345</v>
      </c>
      <c r="AU32" s="67" t="s">
        <v>1346</v>
      </c>
      <c r="AV32" s="67" t="s">
        <v>1347</v>
      </c>
      <c r="AW32" s="92" t="s">
        <v>1348</v>
      </c>
      <c r="AX32" s="64" t="s">
        <v>1349</v>
      </c>
      <c r="AY32" s="92" t="s">
        <v>1350</v>
      </c>
      <c r="AZ32" s="57" t="n">
        <v>66</v>
      </c>
      <c r="BA32" s="74" t="n">
        <v>19</v>
      </c>
      <c r="BB32" s="122" t="s">
        <v>1351</v>
      </c>
      <c r="BC32" s="76" t="n">
        <v>0</v>
      </c>
      <c r="BD32" s="76"/>
    </row>
    <row r="33" customFormat="false" ht="18" hidden="false" customHeight="true" outlineLevel="0" collapsed="false">
      <c r="A33" s="100"/>
      <c r="B33" s="60" t="n">
        <v>28</v>
      </c>
      <c r="C33" s="63" t="s">
        <v>1352</v>
      </c>
      <c r="D33" s="60" t="s">
        <v>1353</v>
      </c>
      <c r="E33" s="62" t="s">
        <v>1354</v>
      </c>
      <c r="F33" s="62" t="s">
        <v>1355</v>
      </c>
      <c r="G33" s="62" t="s">
        <v>1356</v>
      </c>
      <c r="H33" s="62" t="s">
        <v>1357</v>
      </c>
      <c r="I33" s="62" t="s">
        <v>1358</v>
      </c>
      <c r="J33" s="62" t="s">
        <v>1359</v>
      </c>
      <c r="K33" s="62" t="s">
        <v>1360</v>
      </c>
      <c r="L33" s="62" t="s">
        <v>1361</v>
      </c>
      <c r="M33" s="62" t="s">
        <v>1362</v>
      </c>
      <c r="N33" s="63" t="s">
        <v>1363</v>
      </c>
      <c r="O33" s="60" t="s">
        <v>1364</v>
      </c>
      <c r="P33" s="62" t="s">
        <v>1365</v>
      </c>
      <c r="Q33" s="62" t="s">
        <v>1366</v>
      </c>
      <c r="R33" s="62" t="s">
        <v>1367</v>
      </c>
      <c r="S33" s="62" t="s">
        <v>1368</v>
      </c>
      <c r="T33" s="62" t="s">
        <v>1369</v>
      </c>
      <c r="U33" s="62" t="s">
        <v>1370</v>
      </c>
      <c r="V33" s="62" t="s">
        <v>1371</v>
      </c>
      <c r="W33" s="62" t="s">
        <v>1372</v>
      </c>
      <c r="X33" s="62" t="s">
        <v>1373</v>
      </c>
      <c r="Y33" s="62" t="s">
        <v>1374</v>
      </c>
      <c r="Z33" s="63" t="s">
        <v>1375</v>
      </c>
      <c r="AA33" s="60" t="s">
        <v>1376</v>
      </c>
      <c r="AB33" s="62" t="s">
        <v>1377</v>
      </c>
      <c r="AC33" s="62" t="s">
        <v>1378</v>
      </c>
      <c r="AD33" s="62" t="s">
        <v>1379</v>
      </c>
      <c r="AE33" s="61"/>
      <c r="AF33" s="62" t="s">
        <v>1380</v>
      </c>
      <c r="AG33" s="62" t="s">
        <v>1381</v>
      </c>
      <c r="AH33" s="63" t="s">
        <v>1382</v>
      </c>
      <c r="AI33" s="60" t="s">
        <v>1383</v>
      </c>
      <c r="AJ33" s="62" t="s">
        <v>1384</v>
      </c>
      <c r="AK33" s="62" t="s">
        <v>1385</v>
      </c>
      <c r="AL33" s="62" t="s">
        <v>1386</v>
      </c>
      <c r="AM33" s="62" t="s">
        <v>1387</v>
      </c>
      <c r="AN33" s="62" t="s">
        <v>1388</v>
      </c>
      <c r="AO33" s="62" t="s">
        <v>1389</v>
      </c>
      <c r="AP33" s="62" t="s">
        <v>1390</v>
      </c>
      <c r="AQ33" s="63" t="s">
        <v>1391</v>
      </c>
      <c r="AR33" s="60" t="s">
        <v>1392</v>
      </c>
      <c r="AS33" s="62" t="s">
        <v>1393</v>
      </c>
      <c r="AT33" s="62" t="s">
        <v>1394</v>
      </c>
      <c r="AU33" s="62" t="s">
        <v>1395</v>
      </c>
      <c r="AV33" s="62" t="s">
        <v>1396</v>
      </c>
      <c r="AW33" s="63" t="s">
        <v>1397</v>
      </c>
      <c r="AX33" s="60" t="s">
        <v>1398</v>
      </c>
      <c r="AY33" s="63" t="s">
        <v>1399</v>
      </c>
      <c r="AZ33" s="57" t="n">
        <v>73</v>
      </c>
      <c r="BA33" s="74" t="n">
        <v>20</v>
      </c>
      <c r="BB33" s="122" t="s">
        <v>1400</v>
      </c>
      <c r="BC33" s="76" t="n">
        <v>0</v>
      </c>
      <c r="BD33" s="76"/>
    </row>
    <row r="34" customFormat="false" ht="18" hidden="false" customHeight="true" outlineLevel="0" collapsed="false">
      <c r="A34" s="100"/>
      <c r="B34" s="64" t="n">
        <v>29</v>
      </c>
      <c r="C34" s="101" t="s">
        <v>1401</v>
      </c>
      <c r="D34" s="66" t="s">
        <v>1402</v>
      </c>
      <c r="E34" s="68" t="s">
        <v>1403</v>
      </c>
      <c r="F34" s="68" t="s">
        <v>1404</v>
      </c>
      <c r="G34" s="68" t="s">
        <v>1405</v>
      </c>
      <c r="H34" s="68" t="s">
        <v>1406</v>
      </c>
      <c r="I34" s="68" t="s">
        <v>1407</v>
      </c>
      <c r="J34" s="68" t="s">
        <v>1408</v>
      </c>
      <c r="K34" s="68" t="s">
        <v>1409</v>
      </c>
      <c r="L34" s="68" t="s">
        <v>1410</v>
      </c>
      <c r="M34" s="68" t="s">
        <v>1411</v>
      </c>
      <c r="N34" s="69" t="s">
        <v>1412</v>
      </c>
      <c r="O34" s="66" t="s">
        <v>1413</v>
      </c>
      <c r="P34" s="68" t="s">
        <v>1414</v>
      </c>
      <c r="Q34" s="68" t="s">
        <v>1415</v>
      </c>
      <c r="R34" s="68" t="s">
        <v>1416</v>
      </c>
      <c r="S34" s="68" t="s">
        <v>1417</v>
      </c>
      <c r="T34" s="68" t="s">
        <v>1418</v>
      </c>
      <c r="U34" s="68" t="s">
        <v>1419</v>
      </c>
      <c r="V34" s="68" t="s">
        <v>1420</v>
      </c>
      <c r="W34" s="68" t="s">
        <v>1421</v>
      </c>
      <c r="X34" s="68" t="s">
        <v>1422</v>
      </c>
      <c r="Y34" s="67" t="s">
        <v>1423</v>
      </c>
      <c r="Z34" s="92" t="s">
        <v>1424</v>
      </c>
      <c r="AA34" s="64" t="s">
        <v>1425</v>
      </c>
      <c r="AB34" s="67" t="s">
        <v>1426</v>
      </c>
      <c r="AC34" s="67" t="s">
        <v>1427</v>
      </c>
      <c r="AD34" s="67" t="s">
        <v>1428</v>
      </c>
      <c r="AE34" s="67" t="s">
        <v>1429</v>
      </c>
      <c r="AF34" s="61"/>
      <c r="AG34" s="67" t="s">
        <v>1430</v>
      </c>
      <c r="AH34" s="92" t="s">
        <v>1431</v>
      </c>
      <c r="AI34" s="64" t="s">
        <v>1432</v>
      </c>
      <c r="AJ34" s="67" t="s">
        <v>1433</v>
      </c>
      <c r="AK34" s="67" t="s">
        <v>1434</v>
      </c>
      <c r="AL34" s="67" t="s">
        <v>1435</v>
      </c>
      <c r="AM34" s="67" t="s">
        <v>1436</v>
      </c>
      <c r="AN34" s="67" t="s">
        <v>1437</v>
      </c>
      <c r="AO34" s="67" t="s">
        <v>1438</v>
      </c>
      <c r="AP34" s="67" t="s">
        <v>1439</v>
      </c>
      <c r="AQ34" s="92" t="s">
        <v>1440</v>
      </c>
      <c r="AR34" s="64" t="s">
        <v>1441</v>
      </c>
      <c r="AS34" s="67" t="s">
        <v>1442</v>
      </c>
      <c r="AT34" s="67" t="s">
        <v>1443</v>
      </c>
      <c r="AU34" s="67" t="s">
        <v>1444</v>
      </c>
      <c r="AV34" s="67" t="s">
        <v>1445</v>
      </c>
      <c r="AW34" s="92" t="s">
        <v>1446</v>
      </c>
      <c r="AX34" s="64" t="s">
        <v>1447</v>
      </c>
      <c r="AY34" s="92" t="s">
        <v>1448</v>
      </c>
      <c r="AZ34" s="57" t="n">
        <v>6</v>
      </c>
      <c r="BA34" s="74" t="n">
        <v>21</v>
      </c>
      <c r="BB34" s="122" t="s">
        <v>1449</v>
      </c>
      <c r="BC34" s="76" t="n">
        <v>0</v>
      </c>
      <c r="BD34" s="76"/>
      <c r="BG34" s="67" t="s">
        <v>1481</v>
      </c>
    </row>
    <row r="35" customFormat="false" ht="18" hidden="false" customHeight="true" outlineLevel="0" collapsed="false">
      <c r="A35" s="100"/>
      <c r="B35" s="60" t="n">
        <v>30</v>
      </c>
      <c r="C35" s="63" t="s">
        <v>35</v>
      </c>
      <c r="D35" s="60" t="s">
        <v>1450</v>
      </c>
      <c r="E35" s="62" t="s">
        <v>1451</v>
      </c>
      <c r="F35" s="62" t="s">
        <v>1452</v>
      </c>
      <c r="G35" s="62" t="s">
        <v>1453</v>
      </c>
      <c r="H35" s="62" t="s">
        <v>1454</v>
      </c>
      <c r="I35" s="62" t="s">
        <v>1455</v>
      </c>
      <c r="J35" s="62" t="s">
        <v>1456</v>
      </c>
      <c r="K35" s="62" t="s">
        <v>1457</v>
      </c>
      <c r="L35" s="62" t="s">
        <v>1458</v>
      </c>
      <c r="M35" s="62" t="s">
        <v>1459</v>
      </c>
      <c r="N35" s="63" t="s">
        <v>1460</v>
      </c>
      <c r="O35" s="60" t="s">
        <v>1461</v>
      </c>
      <c r="P35" s="62" t="s">
        <v>1462</v>
      </c>
      <c r="Q35" s="62" t="s">
        <v>1463</v>
      </c>
      <c r="R35" s="62" t="s">
        <v>1464</v>
      </c>
      <c r="S35" s="62" t="s">
        <v>1465</v>
      </c>
      <c r="T35" s="62" t="s">
        <v>1466</v>
      </c>
      <c r="U35" s="62" t="s">
        <v>1467</v>
      </c>
      <c r="V35" s="62" t="s">
        <v>1468</v>
      </c>
      <c r="W35" s="62" t="s">
        <v>1469</v>
      </c>
      <c r="X35" s="62" t="s">
        <v>1470</v>
      </c>
      <c r="Y35" s="62" t="s">
        <v>1471</v>
      </c>
      <c r="Z35" s="63" t="s">
        <v>1472</v>
      </c>
      <c r="AA35" s="60" t="s">
        <v>1473</v>
      </c>
      <c r="AB35" s="62" t="s">
        <v>1474</v>
      </c>
      <c r="AC35" s="62" t="s">
        <v>1475</v>
      </c>
      <c r="AD35" s="62" t="s">
        <v>1476</v>
      </c>
      <c r="AE35" s="62" t="s">
        <v>1477</v>
      </c>
      <c r="AF35" s="62" t="s">
        <v>1478</v>
      </c>
      <c r="AG35" s="61"/>
      <c r="AH35" s="63" t="s">
        <v>1479</v>
      </c>
      <c r="AI35" s="60" t="s">
        <v>1480</v>
      </c>
      <c r="AJ35" s="62" t="s">
        <v>1481</v>
      </c>
      <c r="AK35" s="62" t="s">
        <v>1482</v>
      </c>
      <c r="AL35" s="62" t="s">
        <v>1483</v>
      </c>
      <c r="AM35" s="62" t="s">
        <v>1484</v>
      </c>
      <c r="AN35" s="62" t="s">
        <v>1485</v>
      </c>
      <c r="AO35" s="62" t="s">
        <v>1486</v>
      </c>
      <c r="AP35" s="62" t="s">
        <v>1487</v>
      </c>
      <c r="AQ35" s="63" t="s">
        <v>1488</v>
      </c>
      <c r="AR35" s="60" t="s">
        <v>1489</v>
      </c>
      <c r="AS35" s="62" t="s">
        <v>1490</v>
      </c>
      <c r="AT35" s="62" t="s">
        <v>1491</v>
      </c>
      <c r="AU35" s="62" t="s">
        <v>1492</v>
      </c>
      <c r="AV35" s="62" t="s">
        <v>1493</v>
      </c>
      <c r="AW35" s="63" t="s">
        <v>1494</v>
      </c>
      <c r="AX35" s="60" t="s">
        <v>1495</v>
      </c>
      <c r="AY35" s="63" t="s">
        <v>1496</v>
      </c>
      <c r="AZ35" s="57" t="n">
        <v>9</v>
      </c>
      <c r="BA35" s="74" t="n">
        <v>22</v>
      </c>
      <c r="BB35" s="122" t="s">
        <v>1497</v>
      </c>
      <c r="BC35" s="76" t="n">
        <v>0</v>
      </c>
      <c r="BD35" s="76"/>
    </row>
    <row r="36" customFormat="false" ht="18" hidden="false" customHeight="true" outlineLevel="0" collapsed="false">
      <c r="A36" s="100"/>
      <c r="B36" s="78" t="n">
        <v>31</v>
      </c>
      <c r="C36" s="102" t="s">
        <v>1498</v>
      </c>
      <c r="D36" s="84" t="s">
        <v>1499</v>
      </c>
      <c r="E36" s="85" t="s">
        <v>1500</v>
      </c>
      <c r="F36" s="85" t="s">
        <v>1501</v>
      </c>
      <c r="G36" s="85" t="s">
        <v>1502</v>
      </c>
      <c r="H36" s="85" t="s">
        <v>1503</v>
      </c>
      <c r="I36" s="85" t="s">
        <v>1504</v>
      </c>
      <c r="J36" s="85" t="s">
        <v>1505</v>
      </c>
      <c r="K36" s="85" t="s">
        <v>1506</v>
      </c>
      <c r="L36" s="85" t="s">
        <v>1507</v>
      </c>
      <c r="M36" s="85" t="s">
        <v>1508</v>
      </c>
      <c r="N36" s="86" t="s">
        <v>1509</v>
      </c>
      <c r="O36" s="84" t="s">
        <v>1510</v>
      </c>
      <c r="P36" s="85" t="s">
        <v>1511</v>
      </c>
      <c r="Q36" s="85" t="s">
        <v>1512</v>
      </c>
      <c r="R36" s="85" t="s">
        <v>1513</v>
      </c>
      <c r="S36" s="85" t="s">
        <v>1514</v>
      </c>
      <c r="T36" s="85" t="s">
        <v>1515</v>
      </c>
      <c r="U36" s="85" t="s">
        <v>1516</v>
      </c>
      <c r="V36" s="85" t="s">
        <v>1517</v>
      </c>
      <c r="W36" s="85" t="s">
        <v>1518</v>
      </c>
      <c r="X36" s="85" t="s">
        <v>1519</v>
      </c>
      <c r="Y36" s="97" t="s">
        <v>1520</v>
      </c>
      <c r="Z36" s="103" t="s">
        <v>1521</v>
      </c>
      <c r="AA36" s="78" t="s">
        <v>1522</v>
      </c>
      <c r="AB36" s="97" t="s">
        <v>1523</v>
      </c>
      <c r="AC36" s="97" t="s">
        <v>1524</v>
      </c>
      <c r="AD36" s="97" t="s">
        <v>1525</v>
      </c>
      <c r="AE36" s="97" t="s">
        <v>1526</v>
      </c>
      <c r="AF36" s="97" t="s">
        <v>1527</v>
      </c>
      <c r="AG36" s="97" t="s">
        <v>1528</v>
      </c>
      <c r="AH36" s="98"/>
      <c r="AI36" s="78" t="s">
        <v>1529</v>
      </c>
      <c r="AJ36" s="97" t="s">
        <v>1530</v>
      </c>
      <c r="AK36" s="97" t="s">
        <v>1531</v>
      </c>
      <c r="AL36" s="97" t="s">
        <v>1532</v>
      </c>
      <c r="AM36" s="97" t="s">
        <v>1533</v>
      </c>
      <c r="AN36" s="97" t="s">
        <v>1534</v>
      </c>
      <c r="AO36" s="97" t="s">
        <v>1535</v>
      </c>
      <c r="AP36" s="97" t="s">
        <v>1536</v>
      </c>
      <c r="AQ36" s="103" t="s">
        <v>1537</v>
      </c>
      <c r="AR36" s="78" t="s">
        <v>1538</v>
      </c>
      <c r="AS36" s="97" t="s">
        <v>1539</v>
      </c>
      <c r="AT36" s="97" t="s">
        <v>1540</v>
      </c>
      <c r="AU36" s="97" t="s">
        <v>1541</v>
      </c>
      <c r="AV36" s="97" t="s">
        <v>1542</v>
      </c>
      <c r="AW36" s="103" t="s">
        <v>1543</v>
      </c>
      <c r="AX36" s="78" t="s">
        <v>1544</v>
      </c>
      <c r="AY36" s="103" t="s">
        <v>1545</v>
      </c>
      <c r="AZ36" s="57" t="n">
        <v>20</v>
      </c>
      <c r="BA36" s="74" t="n">
        <v>23</v>
      </c>
      <c r="BB36" s="122" t="s">
        <v>1546</v>
      </c>
      <c r="BC36" s="76" t="n">
        <v>0</v>
      </c>
      <c r="BD36" s="76"/>
    </row>
    <row r="37" customFormat="false" ht="18" hidden="false" customHeight="true" outlineLevel="0" collapsed="false">
      <c r="A37" s="104" t="s">
        <v>3</v>
      </c>
      <c r="B37" s="88" t="n">
        <v>32</v>
      </c>
      <c r="C37" s="91" t="s">
        <v>37</v>
      </c>
      <c r="D37" s="88" t="s">
        <v>1547</v>
      </c>
      <c r="E37" s="90" t="s">
        <v>1548</v>
      </c>
      <c r="F37" s="90" t="s">
        <v>1549</v>
      </c>
      <c r="G37" s="90" t="s">
        <v>1550</v>
      </c>
      <c r="H37" s="90" t="s">
        <v>1551</v>
      </c>
      <c r="I37" s="90" t="s">
        <v>1552</v>
      </c>
      <c r="J37" s="90" t="s">
        <v>1553</v>
      </c>
      <c r="K37" s="90" t="s">
        <v>1554</v>
      </c>
      <c r="L37" s="90" t="s">
        <v>1555</v>
      </c>
      <c r="M37" s="90" t="s">
        <v>1556</v>
      </c>
      <c r="N37" s="91" t="s">
        <v>1557</v>
      </c>
      <c r="O37" s="88" t="s">
        <v>1558</v>
      </c>
      <c r="P37" s="90" t="s">
        <v>1559</v>
      </c>
      <c r="Q37" s="90" t="s">
        <v>1560</v>
      </c>
      <c r="R37" s="90" t="s">
        <v>1561</v>
      </c>
      <c r="S37" s="90" t="s">
        <v>1562</v>
      </c>
      <c r="T37" s="90" t="s">
        <v>1563</v>
      </c>
      <c r="U37" s="90" t="s">
        <v>1564</v>
      </c>
      <c r="V37" s="90" t="s">
        <v>1565</v>
      </c>
      <c r="W37" s="90" t="s">
        <v>1566</v>
      </c>
      <c r="X37" s="90" t="s">
        <v>1567</v>
      </c>
      <c r="Y37" s="90" t="s">
        <v>1568</v>
      </c>
      <c r="Z37" s="91" t="s">
        <v>1569</v>
      </c>
      <c r="AA37" s="88" t="s">
        <v>1570</v>
      </c>
      <c r="AB37" s="90" t="s">
        <v>1571</v>
      </c>
      <c r="AC37" s="90" t="s">
        <v>1572</v>
      </c>
      <c r="AD37" s="90" t="s">
        <v>1573</v>
      </c>
      <c r="AE37" s="90" t="s">
        <v>1574</v>
      </c>
      <c r="AF37" s="90" t="s">
        <v>1575</v>
      </c>
      <c r="AG37" s="90" t="s">
        <v>1576</v>
      </c>
      <c r="AH37" s="91" t="s">
        <v>1577</v>
      </c>
      <c r="AI37" s="53"/>
      <c r="AJ37" s="90" t="s">
        <v>1578</v>
      </c>
      <c r="AK37" s="90" t="s">
        <v>1579</v>
      </c>
      <c r="AL37" s="90" t="s">
        <v>1580</v>
      </c>
      <c r="AM37" s="90" t="s">
        <v>1581</v>
      </c>
      <c r="AN37" s="90" t="s">
        <v>1582</v>
      </c>
      <c r="AO37" s="90" t="s">
        <v>1583</v>
      </c>
      <c r="AP37" s="90" t="s">
        <v>1584</v>
      </c>
      <c r="AQ37" s="91" t="s">
        <v>1585</v>
      </c>
      <c r="AR37" s="88" t="s">
        <v>1586</v>
      </c>
      <c r="AS37" s="90" t="s">
        <v>1587</v>
      </c>
      <c r="AT37" s="90" t="s">
        <v>1588</v>
      </c>
      <c r="AU37" s="90" t="s">
        <v>1589</v>
      </c>
      <c r="AV37" s="90" t="s">
        <v>1590</v>
      </c>
      <c r="AW37" s="91" t="s">
        <v>1591</v>
      </c>
      <c r="AX37" s="88" t="s">
        <v>1592</v>
      </c>
      <c r="AY37" s="91" t="s">
        <v>1593</v>
      </c>
      <c r="AZ37" s="57" t="n">
        <v>23</v>
      </c>
      <c r="BA37" s="74" t="n">
        <v>24</v>
      </c>
      <c r="BB37" s="122" t="s">
        <v>1594</v>
      </c>
      <c r="BC37" s="76" t="n">
        <v>0</v>
      </c>
      <c r="BD37" s="76"/>
    </row>
    <row r="38" customFormat="false" ht="18" hidden="false" customHeight="true" outlineLevel="0" collapsed="false">
      <c r="A38" s="104"/>
      <c r="B38" s="64" t="n">
        <v>33</v>
      </c>
      <c r="C38" s="101" t="s">
        <v>38</v>
      </c>
      <c r="D38" s="66" t="s">
        <v>1595</v>
      </c>
      <c r="E38" s="68" t="s">
        <v>1596</v>
      </c>
      <c r="F38" s="68" t="s">
        <v>1597</v>
      </c>
      <c r="G38" s="68" t="s">
        <v>1598</v>
      </c>
      <c r="H38" s="68" t="s">
        <v>1599</v>
      </c>
      <c r="I38" s="68" t="s">
        <v>1600</v>
      </c>
      <c r="J38" s="68" t="s">
        <v>1601</v>
      </c>
      <c r="K38" s="68" t="s">
        <v>1602</v>
      </c>
      <c r="L38" s="68" t="s">
        <v>1603</v>
      </c>
      <c r="M38" s="68" t="s">
        <v>1604</v>
      </c>
      <c r="N38" s="69" t="s">
        <v>1605</v>
      </c>
      <c r="O38" s="66" t="s">
        <v>1606</v>
      </c>
      <c r="P38" s="68" t="s">
        <v>1607</v>
      </c>
      <c r="Q38" s="68" t="s">
        <v>1608</v>
      </c>
      <c r="R38" s="68" t="s">
        <v>1609</v>
      </c>
      <c r="S38" s="68" t="s">
        <v>1610</v>
      </c>
      <c r="T38" s="68" t="s">
        <v>1611</v>
      </c>
      <c r="U38" s="68" t="s">
        <v>1612</v>
      </c>
      <c r="V38" s="68" t="s">
        <v>1613</v>
      </c>
      <c r="W38" s="68" t="s">
        <v>1614</v>
      </c>
      <c r="X38" s="68" t="s">
        <v>1615</v>
      </c>
      <c r="Y38" s="67" t="s">
        <v>1616</v>
      </c>
      <c r="Z38" s="92" t="s">
        <v>1617</v>
      </c>
      <c r="AA38" s="64" t="s">
        <v>1618</v>
      </c>
      <c r="AB38" s="67" t="s">
        <v>1619</v>
      </c>
      <c r="AC38" s="67" t="s">
        <v>1620</v>
      </c>
      <c r="AD38" s="67" t="s">
        <v>1621</v>
      </c>
      <c r="AE38" s="67" t="s">
        <v>1622</v>
      </c>
      <c r="AF38" s="67" t="s">
        <v>1623</v>
      </c>
      <c r="AG38" s="67" t="s">
        <v>1624</v>
      </c>
      <c r="AH38" s="92" t="s">
        <v>1625</v>
      </c>
      <c r="AI38" s="64" t="s">
        <v>1626</v>
      </c>
      <c r="AJ38" s="61"/>
      <c r="AK38" s="67" t="s">
        <v>1627</v>
      </c>
      <c r="AL38" s="67" t="s">
        <v>1628</v>
      </c>
      <c r="AM38" s="67" t="s">
        <v>1629</v>
      </c>
      <c r="AN38" s="67" t="s">
        <v>1630</v>
      </c>
      <c r="AO38" s="67" t="s">
        <v>1631</v>
      </c>
      <c r="AP38" s="67" t="s">
        <v>1632</v>
      </c>
      <c r="AQ38" s="92" t="s">
        <v>1633</v>
      </c>
      <c r="AR38" s="64" t="s">
        <v>1634</v>
      </c>
      <c r="AS38" s="67" t="s">
        <v>1635</v>
      </c>
      <c r="AT38" s="67" t="s">
        <v>1636</v>
      </c>
      <c r="AU38" s="67" t="s">
        <v>1637</v>
      </c>
      <c r="AV38" s="67" t="s">
        <v>1638</v>
      </c>
      <c r="AW38" s="92" t="s">
        <v>1639</v>
      </c>
      <c r="AX38" s="64" t="s">
        <v>1640</v>
      </c>
      <c r="AY38" s="92" t="s">
        <v>1641</v>
      </c>
      <c r="AZ38" s="57" t="n">
        <v>23</v>
      </c>
      <c r="BA38" s="74" t="n">
        <v>25</v>
      </c>
      <c r="BB38" s="122" t="s">
        <v>1642</v>
      </c>
      <c r="BC38" s="76" t="n">
        <v>0</v>
      </c>
      <c r="BD38" s="76"/>
    </row>
    <row r="39" customFormat="false" ht="18" hidden="false" customHeight="true" outlineLevel="0" collapsed="false">
      <c r="A39" s="104"/>
      <c r="B39" s="60" t="n">
        <v>34</v>
      </c>
      <c r="C39" s="63" t="s">
        <v>4180</v>
      </c>
      <c r="D39" s="60" t="s">
        <v>1644</v>
      </c>
      <c r="E39" s="62" t="s">
        <v>1645</v>
      </c>
      <c r="F39" s="62" t="s">
        <v>1646</v>
      </c>
      <c r="G39" s="62" t="s">
        <v>1647</v>
      </c>
      <c r="H39" s="62" t="s">
        <v>1648</v>
      </c>
      <c r="I39" s="62" t="s">
        <v>1649</v>
      </c>
      <c r="J39" s="62" t="s">
        <v>1650</v>
      </c>
      <c r="K39" s="62" t="s">
        <v>1651</v>
      </c>
      <c r="L39" s="62" t="s">
        <v>1652</v>
      </c>
      <c r="M39" s="62" t="s">
        <v>1653</v>
      </c>
      <c r="N39" s="63" t="s">
        <v>1654</v>
      </c>
      <c r="O39" s="60" t="s">
        <v>1655</v>
      </c>
      <c r="P39" s="62" t="s">
        <v>1656</v>
      </c>
      <c r="Q39" s="62" t="s">
        <v>1657</v>
      </c>
      <c r="R39" s="62" t="s">
        <v>1658</v>
      </c>
      <c r="S39" s="62" t="s">
        <v>1659</v>
      </c>
      <c r="T39" s="62" t="s">
        <v>1660</v>
      </c>
      <c r="U39" s="62" t="s">
        <v>1661</v>
      </c>
      <c r="V39" s="62" t="s">
        <v>1662</v>
      </c>
      <c r="W39" s="62" t="s">
        <v>1663</v>
      </c>
      <c r="X39" s="62" t="s">
        <v>1664</v>
      </c>
      <c r="Y39" s="62" t="s">
        <v>1665</v>
      </c>
      <c r="Z39" s="63" t="s">
        <v>1666</v>
      </c>
      <c r="AA39" s="60" t="s">
        <v>1667</v>
      </c>
      <c r="AB39" s="62" t="s">
        <v>1668</v>
      </c>
      <c r="AC39" s="62" t="s">
        <v>1669</v>
      </c>
      <c r="AD39" s="62" t="s">
        <v>1670</v>
      </c>
      <c r="AE39" s="62" t="s">
        <v>1671</v>
      </c>
      <c r="AF39" s="62" t="s">
        <v>1672</v>
      </c>
      <c r="AG39" s="62" t="s">
        <v>1673</v>
      </c>
      <c r="AH39" s="63" t="s">
        <v>1674</v>
      </c>
      <c r="AI39" s="60" t="s">
        <v>1675</v>
      </c>
      <c r="AJ39" s="62" t="s">
        <v>1676</v>
      </c>
      <c r="AK39" s="61"/>
      <c r="AL39" s="62" t="s">
        <v>1677</v>
      </c>
      <c r="AM39" s="62" t="s">
        <v>1678</v>
      </c>
      <c r="AN39" s="62" t="s">
        <v>1679</v>
      </c>
      <c r="AO39" s="62" t="s">
        <v>1680</v>
      </c>
      <c r="AP39" s="62" t="s">
        <v>1681</v>
      </c>
      <c r="AQ39" s="63" t="s">
        <v>1682</v>
      </c>
      <c r="AR39" s="60" t="s">
        <v>1683</v>
      </c>
      <c r="AS39" s="62" t="s">
        <v>1684</v>
      </c>
      <c r="AT39" s="62" t="s">
        <v>1685</v>
      </c>
      <c r="AU39" s="62" t="s">
        <v>1686</v>
      </c>
      <c r="AV39" s="62" t="s">
        <v>1687</v>
      </c>
      <c r="AW39" s="63" t="s">
        <v>1688</v>
      </c>
      <c r="AX39" s="60" t="s">
        <v>1689</v>
      </c>
      <c r="AY39" s="63" t="s">
        <v>1690</v>
      </c>
      <c r="AZ39" s="57" t="n">
        <v>16</v>
      </c>
      <c r="BA39" s="74" t="n">
        <v>26</v>
      </c>
      <c r="BB39" s="122" t="s">
        <v>1691</v>
      </c>
      <c r="BC39" s="76" t="n">
        <v>0</v>
      </c>
      <c r="BD39" s="76"/>
    </row>
    <row r="40" customFormat="false" ht="18" hidden="false" customHeight="true" outlineLevel="0" collapsed="false">
      <c r="A40" s="104"/>
      <c r="B40" s="64" t="n">
        <v>35</v>
      </c>
      <c r="C40" s="101" t="s">
        <v>1692</v>
      </c>
      <c r="D40" s="66" t="s">
        <v>1693</v>
      </c>
      <c r="E40" s="68" t="s">
        <v>1694</v>
      </c>
      <c r="F40" s="68" t="s">
        <v>1695</v>
      </c>
      <c r="G40" s="68" t="s">
        <v>1696</v>
      </c>
      <c r="H40" s="68" t="s">
        <v>1697</v>
      </c>
      <c r="I40" s="68" t="s">
        <v>1698</v>
      </c>
      <c r="J40" s="68" t="s">
        <v>1699</v>
      </c>
      <c r="K40" s="68" t="s">
        <v>1700</v>
      </c>
      <c r="L40" s="68" t="s">
        <v>1701</v>
      </c>
      <c r="M40" s="68" t="s">
        <v>1702</v>
      </c>
      <c r="N40" s="69" t="s">
        <v>1703</v>
      </c>
      <c r="O40" s="66" t="s">
        <v>1704</v>
      </c>
      <c r="P40" s="68" t="s">
        <v>1705</v>
      </c>
      <c r="Q40" s="68" t="s">
        <v>1706</v>
      </c>
      <c r="R40" s="68" t="s">
        <v>1707</v>
      </c>
      <c r="S40" s="68" t="s">
        <v>1708</v>
      </c>
      <c r="T40" s="68" t="s">
        <v>1709</v>
      </c>
      <c r="U40" s="68" t="s">
        <v>1710</v>
      </c>
      <c r="V40" s="68" t="s">
        <v>1711</v>
      </c>
      <c r="W40" s="68" t="s">
        <v>1712</v>
      </c>
      <c r="X40" s="68" t="s">
        <v>1713</v>
      </c>
      <c r="Y40" s="67" t="s">
        <v>1714</v>
      </c>
      <c r="Z40" s="92" t="s">
        <v>1715</v>
      </c>
      <c r="AA40" s="64" t="s">
        <v>1716</v>
      </c>
      <c r="AB40" s="67" t="s">
        <v>1717</v>
      </c>
      <c r="AC40" s="67" t="s">
        <v>1718</v>
      </c>
      <c r="AD40" s="67" t="s">
        <v>1719</v>
      </c>
      <c r="AE40" s="67" t="s">
        <v>1720</v>
      </c>
      <c r="AF40" s="67" t="s">
        <v>1721</v>
      </c>
      <c r="AG40" s="67" t="s">
        <v>1722</v>
      </c>
      <c r="AH40" s="92" t="s">
        <v>1723</v>
      </c>
      <c r="AI40" s="64" t="s">
        <v>1724</v>
      </c>
      <c r="AJ40" s="67" t="s">
        <v>1725</v>
      </c>
      <c r="AK40" s="67" t="s">
        <v>1726</v>
      </c>
      <c r="AL40" s="61"/>
      <c r="AM40" s="67" t="s">
        <v>1727</v>
      </c>
      <c r="AN40" s="67" t="s">
        <v>1728</v>
      </c>
      <c r="AO40" s="67" t="s">
        <v>1729</v>
      </c>
      <c r="AP40" s="67" t="s">
        <v>1730</v>
      </c>
      <c r="AQ40" s="92" t="s">
        <v>1731</v>
      </c>
      <c r="AR40" s="64" t="s">
        <v>1732</v>
      </c>
      <c r="AS40" s="67" t="s">
        <v>1733</v>
      </c>
      <c r="AT40" s="67" t="s">
        <v>1734</v>
      </c>
      <c r="AU40" s="67" t="s">
        <v>1735</v>
      </c>
      <c r="AV40" s="67" t="s">
        <v>1736</v>
      </c>
      <c r="AW40" s="92" t="s">
        <v>1737</v>
      </c>
      <c r="AX40" s="64" t="s">
        <v>1738</v>
      </c>
      <c r="AY40" s="92" t="s">
        <v>1739</v>
      </c>
      <c r="AZ40" s="57" t="n">
        <v>15</v>
      </c>
      <c r="BA40" s="74" t="n">
        <v>27</v>
      </c>
      <c r="BB40" s="122" t="s">
        <v>1740</v>
      </c>
      <c r="BC40" s="76" t="n">
        <v>0</v>
      </c>
      <c r="BD40" s="76"/>
    </row>
    <row r="41" customFormat="false" ht="18" hidden="false" customHeight="true" outlineLevel="0" collapsed="false">
      <c r="A41" s="104"/>
      <c r="B41" s="60" t="n">
        <v>36</v>
      </c>
      <c r="C41" s="63" t="s">
        <v>41</v>
      </c>
      <c r="D41" s="60" t="s">
        <v>1741</v>
      </c>
      <c r="E41" s="62" t="s">
        <v>1742</v>
      </c>
      <c r="F41" s="62" t="s">
        <v>1743</v>
      </c>
      <c r="G41" s="62" t="s">
        <v>1744</v>
      </c>
      <c r="H41" s="62" t="s">
        <v>1745</v>
      </c>
      <c r="I41" s="62" t="s">
        <v>1746</v>
      </c>
      <c r="J41" s="62" t="s">
        <v>1747</v>
      </c>
      <c r="K41" s="62" t="s">
        <v>1748</v>
      </c>
      <c r="L41" s="62" t="s">
        <v>1749</v>
      </c>
      <c r="M41" s="62" t="s">
        <v>1750</v>
      </c>
      <c r="N41" s="63" t="s">
        <v>1751</v>
      </c>
      <c r="O41" s="60" t="s">
        <v>1752</v>
      </c>
      <c r="P41" s="62" t="s">
        <v>1753</v>
      </c>
      <c r="Q41" s="62" t="s">
        <v>1754</v>
      </c>
      <c r="R41" s="62" t="s">
        <v>1755</v>
      </c>
      <c r="S41" s="62" t="s">
        <v>1756</v>
      </c>
      <c r="T41" s="62" t="s">
        <v>1757</v>
      </c>
      <c r="U41" s="62" t="s">
        <v>1758</v>
      </c>
      <c r="V41" s="62" t="s">
        <v>1759</v>
      </c>
      <c r="W41" s="62" t="s">
        <v>1760</v>
      </c>
      <c r="X41" s="62" t="s">
        <v>1761</v>
      </c>
      <c r="Y41" s="62" t="s">
        <v>1762</v>
      </c>
      <c r="Z41" s="63" t="s">
        <v>1763</v>
      </c>
      <c r="AA41" s="60" t="s">
        <v>1764</v>
      </c>
      <c r="AB41" s="62" t="s">
        <v>1765</v>
      </c>
      <c r="AC41" s="62" t="s">
        <v>1766</v>
      </c>
      <c r="AD41" s="62" t="s">
        <v>1767</v>
      </c>
      <c r="AE41" s="62" t="s">
        <v>1768</v>
      </c>
      <c r="AF41" s="62" t="s">
        <v>1769</v>
      </c>
      <c r="AG41" s="62" t="s">
        <v>1770</v>
      </c>
      <c r="AH41" s="63" t="s">
        <v>1771</v>
      </c>
      <c r="AI41" s="60" t="s">
        <v>1772</v>
      </c>
      <c r="AJ41" s="62" t="s">
        <v>1773</v>
      </c>
      <c r="AK41" s="62" t="s">
        <v>1774</v>
      </c>
      <c r="AL41" s="62" t="s">
        <v>1775</v>
      </c>
      <c r="AM41" s="61"/>
      <c r="AN41" s="62" t="s">
        <v>1776</v>
      </c>
      <c r="AO41" s="62" t="s">
        <v>1777</v>
      </c>
      <c r="AP41" s="62" t="s">
        <v>1778</v>
      </c>
      <c r="AQ41" s="63" t="s">
        <v>1779</v>
      </c>
      <c r="AR41" s="60" t="s">
        <v>1780</v>
      </c>
      <c r="AS41" s="62" t="s">
        <v>1781</v>
      </c>
      <c r="AT41" s="62" t="s">
        <v>1782</v>
      </c>
      <c r="AU41" s="62" t="s">
        <v>1783</v>
      </c>
      <c r="AV41" s="62" t="s">
        <v>1784</v>
      </c>
      <c r="AW41" s="63" t="s">
        <v>1785</v>
      </c>
      <c r="AX41" s="60" t="s">
        <v>1786</v>
      </c>
      <c r="AY41" s="63" t="s">
        <v>1787</v>
      </c>
      <c r="AZ41" s="57" t="n">
        <v>36</v>
      </c>
      <c r="BA41" s="74" t="n">
        <v>28</v>
      </c>
      <c r="BB41" s="122" t="s">
        <v>1788</v>
      </c>
      <c r="BC41" s="76" t="n">
        <v>0</v>
      </c>
      <c r="BD41" s="76"/>
    </row>
    <row r="42" customFormat="false" ht="18" hidden="false" customHeight="true" outlineLevel="0" collapsed="false">
      <c r="A42" s="104"/>
      <c r="B42" s="64" t="n">
        <v>37</v>
      </c>
      <c r="C42" s="101" t="s">
        <v>42</v>
      </c>
      <c r="D42" s="66" t="s">
        <v>1789</v>
      </c>
      <c r="E42" s="68" t="s">
        <v>1790</v>
      </c>
      <c r="F42" s="68" t="s">
        <v>1791</v>
      </c>
      <c r="G42" s="68" t="s">
        <v>1792</v>
      </c>
      <c r="H42" s="68" t="s">
        <v>1793</v>
      </c>
      <c r="I42" s="68" t="s">
        <v>1794</v>
      </c>
      <c r="J42" s="68" t="s">
        <v>1795</v>
      </c>
      <c r="K42" s="68" t="s">
        <v>1796</v>
      </c>
      <c r="L42" s="68" t="s">
        <v>1797</v>
      </c>
      <c r="M42" s="68" t="s">
        <v>1798</v>
      </c>
      <c r="N42" s="69" t="s">
        <v>1799</v>
      </c>
      <c r="O42" s="66" t="s">
        <v>1800</v>
      </c>
      <c r="P42" s="68" t="s">
        <v>1801</v>
      </c>
      <c r="Q42" s="68" t="s">
        <v>1802</v>
      </c>
      <c r="R42" s="68" t="s">
        <v>1803</v>
      </c>
      <c r="S42" s="68" t="s">
        <v>1804</v>
      </c>
      <c r="T42" s="68" t="s">
        <v>1805</v>
      </c>
      <c r="U42" s="68" t="s">
        <v>1806</v>
      </c>
      <c r="V42" s="68" t="s">
        <v>1807</v>
      </c>
      <c r="W42" s="68" t="s">
        <v>1808</v>
      </c>
      <c r="X42" s="68" t="s">
        <v>1809</v>
      </c>
      <c r="Y42" s="67" t="s">
        <v>1810</v>
      </c>
      <c r="Z42" s="92" t="s">
        <v>1811</v>
      </c>
      <c r="AA42" s="64" t="s">
        <v>1812</v>
      </c>
      <c r="AB42" s="67" t="s">
        <v>1813</v>
      </c>
      <c r="AC42" s="67" t="s">
        <v>1814</v>
      </c>
      <c r="AD42" s="67" t="s">
        <v>1815</v>
      </c>
      <c r="AE42" s="67" t="s">
        <v>1816</v>
      </c>
      <c r="AF42" s="67" t="s">
        <v>1817</v>
      </c>
      <c r="AG42" s="67" t="s">
        <v>1818</v>
      </c>
      <c r="AH42" s="92" t="s">
        <v>1819</v>
      </c>
      <c r="AI42" s="64" t="s">
        <v>1820</v>
      </c>
      <c r="AJ42" s="67" t="s">
        <v>1821</v>
      </c>
      <c r="AK42" s="67" t="s">
        <v>1822</v>
      </c>
      <c r="AL42" s="67" t="s">
        <v>1823</v>
      </c>
      <c r="AM42" s="67" t="s">
        <v>1824</v>
      </c>
      <c r="AN42" s="61"/>
      <c r="AO42" s="67" t="s">
        <v>1825</v>
      </c>
      <c r="AP42" s="67" t="s">
        <v>1826</v>
      </c>
      <c r="AQ42" s="92" t="s">
        <v>1827</v>
      </c>
      <c r="AR42" s="64" t="s">
        <v>1828</v>
      </c>
      <c r="AS42" s="67" t="s">
        <v>1829</v>
      </c>
      <c r="AT42" s="67" t="s">
        <v>1830</v>
      </c>
      <c r="AU42" s="67" t="s">
        <v>1831</v>
      </c>
      <c r="AV42" s="67" t="s">
        <v>1832</v>
      </c>
      <c r="AW42" s="92" t="s">
        <v>1833</v>
      </c>
      <c r="AX42" s="64" t="s">
        <v>1834</v>
      </c>
      <c r="AY42" s="92" t="s">
        <v>1835</v>
      </c>
      <c r="AZ42" s="57" t="n">
        <v>19</v>
      </c>
      <c r="BA42" s="74" t="n">
        <v>29</v>
      </c>
      <c r="BB42" s="122" t="s">
        <v>1836</v>
      </c>
      <c r="BC42" s="76" t="n">
        <v>0</v>
      </c>
      <c r="BD42" s="76"/>
    </row>
    <row r="43" customFormat="false" ht="18" hidden="false" customHeight="true" outlineLevel="0" collapsed="false">
      <c r="A43" s="104"/>
      <c r="B43" s="60" t="n">
        <v>38</v>
      </c>
      <c r="C43" s="63" t="s">
        <v>1837</v>
      </c>
      <c r="D43" s="60" t="s">
        <v>1838</v>
      </c>
      <c r="E43" s="62" t="s">
        <v>1839</v>
      </c>
      <c r="F43" s="62" t="s">
        <v>1840</v>
      </c>
      <c r="G43" s="62" t="s">
        <v>1841</v>
      </c>
      <c r="H43" s="62" t="s">
        <v>1842</v>
      </c>
      <c r="I43" s="62" t="s">
        <v>1843</v>
      </c>
      <c r="J43" s="62" t="s">
        <v>1844</v>
      </c>
      <c r="K43" s="62" t="s">
        <v>1845</v>
      </c>
      <c r="L43" s="62" t="s">
        <v>1846</v>
      </c>
      <c r="M43" s="62" t="s">
        <v>1847</v>
      </c>
      <c r="N43" s="63" t="s">
        <v>1848</v>
      </c>
      <c r="O43" s="60" t="s">
        <v>1849</v>
      </c>
      <c r="P43" s="62" t="s">
        <v>1850</v>
      </c>
      <c r="Q43" s="62" t="s">
        <v>1851</v>
      </c>
      <c r="R43" s="62" t="s">
        <v>1852</v>
      </c>
      <c r="S43" s="62" t="s">
        <v>1853</v>
      </c>
      <c r="T43" s="62" t="s">
        <v>1854</v>
      </c>
      <c r="U43" s="62" t="s">
        <v>1855</v>
      </c>
      <c r="V43" s="62" t="s">
        <v>1856</v>
      </c>
      <c r="W43" s="62" t="s">
        <v>1857</v>
      </c>
      <c r="X43" s="62" t="s">
        <v>1858</v>
      </c>
      <c r="Y43" s="62" t="s">
        <v>1859</v>
      </c>
      <c r="Z43" s="63" t="s">
        <v>1860</v>
      </c>
      <c r="AA43" s="60" t="s">
        <v>1861</v>
      </c>
      <c r="AB43" s="62" t="s">
        <v>1862</v>
      </c>
      <c r="AC43" s="62" t="s">
        <v>1863</v>
      </c>
      <c r="AD43" s="62" t="s">
        <v>1864</v>
      </c>
      <c r="AE43" s="62" t="s">
        <v>1865</v>
      </c>
      <c r="AF43" s="62" t="s">
        <v>1866</v>
      </c>
      <c r="AG43" s="62" t="s">
        <v>1867</v>
      </c>
      <c r="AH43" s="63" t="s">
        <v>1868</v>
      </c>
      <c r="AI43" s="60" t="s">
        <v>1869</v>
      </c>
      <c r="AJ43" s="62" t="s">
        <v>1870</v>
      </c>
      <c r="AK43" s="62" t="s">
        <v>1871</v>
      </c>
      <c r="AL43" s="62" t="s">
        <v>1872</v>
      </c>
      <c r="AM43" s="62" t="s">
        <v>1873</v>
      </c>
      <c r="AN43" s="62" t="s">
        <v>1874</v>
      </c>
      <c r="AO43" s="61"/>
      <c r="AP43" s="62" t="s">
        <v>1875</v>
      </c>
      <c r="AQ43" s="63" t="s">
        <v>1876</v>
      </c>
      <c r="AR43" s="60" t="s">
        <v>1877</v>
      </c>
      <c r="AS43" s="62" t="s">
        <v>1878</v>
      </c>
      <c r="AT43" s="62" t="s">
        <v>1879</v>
      </c>
      <c r="AU43" s="62" t="s">
        <v>1880</v>
      </c>
      <c r="AV43" s="62" t="s">
        <v>1881</v>
      </c>
      <c r="AW43" s="63" t="s">
        <v>1882</v>
      </c>
      <c r="AX43" s="60" t="s">
        <v>1883</v>
      </c>
      <c r="AY43" s="63" t="s">
        <v>1884</v>
      </c>
      <c r="AZ43" s="57" t="n">
        <v>29</v>
      </c>
      <c r="BA43" s="74" t="n">
        <v>30</v>
      </c>
      <c r="BB43" s="122" t="s">
        <v>1885</v>
      </c>
      <c r="BC43" s="76" t="n">
        <v>0</v>
      </c>
      <c r="BD43" s="76"/>
    </row>
    <row r="44" customFormat="false" ht="18" hidden="false" customHeight="true" outlineLevel="0" collapsed="false">
      <c r="A44" s="104"/>
      <c r="B44" s="64" t="n">
        <v>39</v>
      </c>
      <c r="C44" s="101" t="s">
        <v>44</v>
      </c>
      <c r="D44" s="66" t="s">
        <v>1886</v>
      </c>
      <c r="E44" s="68" t="s">
        <v>1887</v>
      </c>
      <c r="F44" s="68" t="s">
        <v>1888</v>
      </c>
      <c r="G44" s="68" t="s">
        <v>1889</v>
      </c>
      <c r="H44" s="68" t="s">
        <v>1890</v>
      </c>
      <c r="I44" s="68" t="s">
        <v>1891</v>
      </c>
      <c r="J44" s="68" t="s">
        <v>1892</v>
      </c>
      <c r="K44" s="68" t="s">
        <v>1893</v>
      </c>
      <c r="L44" s="68" t="s">
        <v>1894</v>
      </c>
      <c r="M44" s="68" t="s">
        <v>1895</v>
      </c>
      <c r="N44" s="69" t="s">
        <v>1896</v>
      </c>
      <c r="O44" s="66" t="s">
        <v>1897</v>
      </c>
      <c r="P44" s="68" t="s">
        <v>1898</v>
      </c>
      <c r="Q44" s="68" t="s">
        <v>1899</v>
      </c>
      <c r="R44" s="68" t="s">
        <v>1900</v>
      </c>
      <c r="S44" s="68" t="s">
        <v>1901</v>
      </c>
      <c r="T44" s="68" t="s">
        <v>1902</v>
      </c>
      <c r="U44" s="68" t="s">
        <v>1903</v>
      </c>
      <c r="V44" s="68" t="s">
        <v>1904</v>
      </c>
      <c r="W44" s="68" t="s">
        <v>1905</v>
      </c>
      <c r="X44" s="68" t="s">
        <v>1906</v>
      </c>
      <c r="Y44" s="67" t="s">
        <v>1907</v>
      </c>
      <c r="Z44" s="92" t="s">
        <v>1908</v>
      </c>
      <c r="AA44" s="64" t="s">
        <v>1909</v>
      </c>
      <c r="AB44" s="67" t="s">
        <v>1910</v>
      </c>
      <c r="AC44" s="67" t="s">
        <v>1911</v>
      </c>
      <c r="AD44" s="67" t="s">
        <v>1912</v>
      </c>
      <c r="AE44" s="67" t="s">
        <v>1913</v>
      </c>
      <c r="AF44" s="67" t="s">
        <v>1914</v>
      </c>
      <c r="AG44" s="67" t="s">
        <v>1915</v>
      </c>
      <c r="AH44" s="92" t="s">
        <v>1916</v>
      </c>
      <c r="AI44" s="64" t="s">
        <v>1917</v>
      </c>
      <c r="AJ44" s="67" t="s">
        <v>1918</v>
      </c>
      <c r="AK44" s="67" t="s">
        <v>1919</v>
      </c>
      <c r="AL44" s="67" t="s">
        <v>1920</v>
      </c>
      <c r="AM44" s="67" t="s">
        <v>1921</v>
      </c>
      <c r="AN44" s="67" t="s">
        <v>1922</v>
      </c>
      <c r="AO44" s="67" t="s">
        <v>1923</v>
      </c>
      <c r="AP44" s="61"/>
      <c r="AQ44" s="92" t="s">
        <v>1924</v>
      </c>
      <c r="AR44" s="64" t="s">
        <v>1925</v>
      </c>
      <c r="AS44" s="67" t="s">
        <v>1926</v>
      </c>
      <c r="AT44" s="67" t="s">
        <v>1927</v>
      </c>
      <c r="AU44" s="67" t="s">
        <v>1928</v>
      </c>
      <c r="AV44" s="67" t="s">
        <v>1929</v>
      </c>
      <c r="AW44" s="92" t="s">
        <v>1930</v>
      </c>
      <c r="AX44" s="64" t="s">
        <v>1931</v>
      </c>
      <c r="AY44" s="92" t="s">
        <v>1932</v>
      </c>
      <c r="AZ44" s="57" t="n">
        <v>78</v>
      </c>
      <c r="BA44" s="74" t="n">
        <v>31</v>
      </c>
      <c r="BB44" s="122" t="s">
        <v>1933</v>
      </c>
      <c r="BC44" s="76" t="n">
        <v>0</v>
      </c>
      <c r="BD44" s="76"/>
    </row>
    <row r="45" customFormat="false" ht="18" hidden="false" customHeight="true" outlineLevel="0" collapsed="false">
      <c r="A45" s="104"/>
      <c r="B45" s="105" t="n">
        <v>40</v>
      </c>
      <c r="C45" s="106" t="s">
        <v>1934</v>
      </c>
      <c r="D45" s="105" t="s">
        <v>1935</v>
      </c>
      <c r="E45" s="107" t="s">
        <v>1936</v>
      </c>
      <c r="F45" s="107" t="s">
        <v>1937</v>
      </c>
      <c r="G45" s="107" t="s">
        <v>1938</v>
      </c>
      <c r="H45" s="107" t="s">
        <v>1939</v>
      </c>
      <c r="I45" s="107" t="s">
        <v>1940</v>
      </c>
      <c r="J45" s="107" t="s">
        <v>1941</v>
      </c>
      <c r="K45" s="107" t="s">
        <v>1942</v>
      </c>
      <c r="L45" s="107" t="s">
        <v>1943</v>
      </c>
      <c r="M45" s="107" t="s">
        <v>1944</v>
      </c>
      <c r="N45" s="108" t="s">
        <v>1945</v>
      </c>
      <c r="O45" s="105" t="s">
        <v>1946</v>
      </c>
      <c r="P45" s="107" t="s">
        <v>1947</v>
      </c>
      <c r="Q45" s="107" t="s">
        <v>1948</v>
      </c>
      <c r="R45" s="107" t="s">
        <v>1949</v>
      </c>
      <c r="S45" s="107" t="s">
        <v>1950</v>
      </c>
      <c r="T45" s="107" t="s">
        <v>1951</v>
      </c>
      <c r="U45" s="107" t="s">
        <v>1952</v>
      </c>
      <c r="V45" s="107" t="s">
        <v>1953</v>
      </c>
      <c r="W45" s="107" t="s">
        <v>1954</v>
      </c>
      <c r="X45" s="107" t="s">
        <v>1955</v>
      </c>
      <c r="Y45" s="107" t="s">
        <v>1956</v>
      </c>
      <c r="Z45" s="108" t="s">
        <v>1957</v>
      </c>
      <c r="AA45" s="105" t="s">
        <v>1958</v>
      </c>
      <c r="AB45" s="107" t="s">
        <v>1959</v>
      </c>
      <c r="AC45" s="107" t="s">
        <v>1960</v>
      </c>
      <c r="AD45" s="107" t="s">
        <v>1961</v>
      </c>
      <c r="AE45" s="107" t="s">
        <v>1962</v>
      </c>
      <c r="AF45" s="107" t="s">
        <v>1963</v>
      </c>
      <c r="AG45" s="107" t="s">
        <v>1964</v>
      </c>
      <c r="AH45" s="108" t="s">
        <v>1965</v>
      </c>
      <c r="AI45" s="105" t="s">
        <v>1966</v>
      </c>
      <c r="AJ45" s="107" t="s">
        <v>1967</v>
      </c>
      <c r="AK45" s="107" t="s">
        <v>1968</v>
      </c>
      <c r="AL45" s="107" t="s">
        <v>1969</v>
      </c>
      <c r="AM45" s="107" t="s">
        <v>1970</v>
      </c>
      <c r="AN45" s="107" t="s">
        <v>1971</v>
      </c>
      <c r="AO45" s="107" t="s">
        <v>1972</v>
      </c>
      <c r="AP45" s="107" t="s">
        <v>1973</v>
      </c>
      <c r="AQ45" s="98"/>
      <c r="AR45" s="105" t="s">
        <v>1974</v>
      </c>
      <c r="AS45" s="107" t="s">
        <v>1975</v>
      </c>
      <c r="AT45" s="107" t="s">
        <v>1976</v>
      </c>
      <c r="AU45" s="107" t="s">
        <v>1977</v>
      </c>
      <c r="AV45" s="107" t="s">
        <v>1978</v>
      </c>
      <c r="AW45" s="108" t="s">
        <v>1979</v>
      </c>
      <c r="AX45" s="105" t="s">
        <v>1980</v>
      </c>
      <c r="AY45" s="108" t="s">
        <v>1981</v>
      </c>
      <c r="AZ45" s="57" t="n">
        <v>10</v>
      </c>
      <c r="BA45" s="74" t="n">
        <v>32</v>
      </c>
      <c r="BB45" s="122" t="s">
        <v>1982</v>
      </c>
      <c r="BC45" s="76" t="n">
        <v>0</v>
      </c>
      <c r="BD45" s="76"/>
    </row>
    <row r="46" customFormat="false" ht="18" hidden="false" customHeight="true" outlineLevel="0" collapsed="false">
      <c r="A46" s="109" t="s">
        <v>4</v>
      </c>
      <c r="B46" s="110" t="n">
        <v>41</v>
      </c>
      <c r="C46" s="111" t="s">
        <v>1983</v>
      </c>
      <c r="D46" s="56" t="s">
        <v>1984</v>
      </c>
      <c r="E46" s="54" t="s">
        <v>1985</v>
      </c>
      <c r="F46" s="54" t="s">
        <v>1986</v>
      </c>
      <c r="G46" s="54" t="s">
        <v>1987</v>
      </c>
      <c r="H46" s="54" t="s">
        <v>1988</v>
      </c>
      <c r="I46" s="54" t="s">
        <v>1989</v>
      </c>
      <c r="J46" s="54" t="s">
        <v>1990</v>
      </c>
      <c r="K46" s="54" t="s">
        <v>1991</v>
      </c>
      <c r="L46" s="54" t="s">
        <v>1992</v>
      </c>
      <c r="M46" s="54" t="s">
        <v>1993</v>
      </c>
      <c r="N46" s="55" t="s">
        <v>1994</v>
      </c>
      <c r="O46" s="56" t="s">
        <v>1995</v>
      </c>
      <c r="P46" s="54" t="s">
        <v>1996</v>
      </c>
      <c r="Q46" s="54" t="s">
        <v>1997</v>
      </c>
      <c r="R46" s="54" t="s">
        <v>1998</v>
      </c>
      <c r="S46" s="54" t="s">
        <v>1999</v>
      </c>
      <c r="T46" s="54" t="s">
        <v>2000</v>
      </c>
      <c r="U46" s="54" t="s">
        <v>2001</v>
      </c>
      <c r="V46" s="54" t="s">
        <v>2002</v>
      </c>
      <c r="W46" s="54" t="s">
        <v>2003</v>
      </c>
      <c r="X46" s="54" t="s">
        <v>2004</v>
      </c>
      <c r="Y46" s="112" t="s">
        <v>2005</v>
      </c>
      <c r="Z46" s="113" t="s">
        <v>2006</v>
      </c>
      <c r="AA46" s="110" t="s">
        <v>2007</v>
      </c>
      <c r="AB46" s="112" t="s">
        <v>2008</v>
      </c>
      <c r="AC46" s="112" t="s">
        <v>2009</v>
      </c>
      <c r="AD46" s="112" t="s">
        <v>2010</v>
      </c>
      <c r="AE46" s="112" t="s">
        <v>2011</v>
      </c>
      <c r="AF46" s="112" t="s">
        <v>2012</v>
      </c>
      <c r="AG46" s="112" t="s">
        <v>2013</v>
      </c>
      <c r="AH46" s="113" t="s">
        <v>2014</v>
      </c>
      <c r="AI46" s="110" t="s">
        <v>2015</v>
      </c>
      <c r="AJ46" s="112" t="s">
        <v>2016</v>
      </c>
      <c r="AK46" s="112" t="s">
        <v>2017</v>
      </c>
      <c r="AL46" s="112" t="s">
        <v>2018</v>
      </c>
      <c r="AM46" s="112" t="s">
        <v>2019</v>
      </c>
      <c r="AN46" s="112" t="s">
        <v>2020</v>
      </c>
      <c r="AO46" s="112" t="s">
        <v>2021</v>
      </c>
      <c r="AP46" s="112" t="s">
        <v>2022</v>
      </c>
      <c r="AQ46" s="113" t="s">
        <v>2023</v>
      </c>
      <c r="AR46" s="53"/>
      <c r="AS46" s="112" t="s">
        <v>2024</v>
      </c>
      <c r="AT46" s="112" t="s">
        <v>2025</v>
      </c>
      <c r="AU46" s="112" t="s">
        <v>2026</v>
      </c>
      <c r="AV46" s="112" t="s">
        <v>2027</v>
      </c>
      <c r="AW46" s="113" t="s">
        <v>2028</v>
      </c>
      <c r="AX46" s="110" t="s">
        <v>2029</v>
      </c>
      <c r="AY46" s="113" t="s">
        <v>2030</v>
      </c>
      <c r="AZ46" s="57" t="n">
        <v>8</v>
      </c>
      <c r="BA46" s="74" t="n">
        <v>33</v>
      </c>
      <c r="BB46" s="122" t="s">
        <v>2031</v>
      </c>
      <c r="BC46" s="76" t="n">
        <v>0</v>
      </c>
      <c r="BD46" s="76"/>
    </row>
    <row r="47" customFormat="false" ht="18" hidden="false" customHeight="true" outlineLevel="0" collapsed="false">
      <c r="A47" s="109"/>
      <c r="B47" s="60" t="n">
        <v>42</v>
      </c>
      <c r="C47" s="63" t="s">
        <v>2032</v>
      </c>
      <c r="D47" s="60" t="s">
        <v>2033</v>
      </c>
      <c r="E47" s="62" t="s">
        <v>2034</v>
      </c>
      <c r="F47" s="62" t="s">
        <v>2035</v>
      </c>
      <c r="G47" s="62" t="s">
        <v>2036</v>
      </c>
      <c r="H47" s="62" t="s">
        <v>2037</v>
      </c>
      <c r="I47" s="62" t="s">
        <v>2038</v>
      </c>
      <c r="J47" s="62" t="s">
        <v>2039</v>
      </c>
      <c r="K47" s="62" t="s">
        <v>2040</v>
      </c>
      <c r="L47" s="62" t="s">
        <v>2041</v>
      </c>
      <c r="M47" s="62" t="s">
        <v>2042</v>
      </c>
      <c r="N47" s="63" t="s">
        <v>2043</v>
      </c>
      <c r="O47" s="60" t="s">
        <v>2044</v>
      </c>
      <c r="P47" s="62" t="s">
        <v>2045</v>
      </c>
      <c r="Q47" s="62" t="s">
        <v>2046</v>
      </c>
      <c r="R47" s="62" t="s">
        <v>2047</v>
      </c>
      <c r="S47" s="62" t="s">
        <v>2048</v>
      </c>
      <c r="T47" s="62" t="s">
        <v>2049</v>
      </c>
      <c r="U47" s="62" t="s">
        <v>2050</v>
      </c>
      <c r="V47" s="62" t="s">
        <v>2051</v>
      </c>
      <c r="W47" s="62" t="s">
        <v>2052</v>
      </c>
      <c r="X47" s="62" t="s">
        <v>2053</v>
      </c>
      <c r="Y47" s="62" t="s">
        <v>2054</v>
      </c>
      <c r="Z47" s="63" t="s">
        <v>2055</v>
      </c>
      <c r="AA47" s="60" t="s">
        <v>2056</v>
      </c>
      <c r="AB47" s="62" t="s">
        <v>2057</v>
      </c>
      <c r="AC47" s="62" t="s">
        <v>2058</v>
      </c>
      <c r="AD47" s="62" t="s">
        <v>2059</v>
      </c>
      <c r="AE47" s="62" t="s">
        <v>2060</v>
      </c>
      <c r="AF47" s="62" t="s">
        <v>2061</v>
      </c>
      <c r="AG47" s="62" t="s">
        <v>2062</v>
      </c>
      <c r="AH47" s="63" t="s">
        <v>2063</v>
      </c>
      <c r="AI47" s="60" t="s">
        <v>2064</v>
      </c>
      <c r="AJ47" s="62" t="s">
        <v>2065</v>
      </c>
      <c r="AK47" s="62" t="s">
        <v>2066</v>
      </c>
      <c r="AL47" s="62" t="s">
        <v>2067</v>
      </c>
      <c r="AM47" s="62" t="s">
        <v>2068</v>
      </c>
      <c r="AN47" s="62" t="s">
        <v>2069</v>
      </c>
      <c r="AO47" s="62" t="s">
        <v>2070</v>
      </c>
      <c r="AP47" s="62" t="s">
        <v>2071</v>
      </c>
      <c r="AQ47" s="63" t="s">
        <v>2072</v>
      </c>
      <c r="AR47" s="60" t="s">
        <v>2073</v>
      </c>
      <c r="AS47" s="61"/>
      <c r="AT47" s="62" t="s">
        <v>2074</v>
      </c>
      <c r="AU47" s="62" t="s">
        <v>2075</v>
      </c>
      <c r="AV47" s="62" t="s">
        <v>2076</v>
      </c>
      <c r="AW47" s="63" t="s">
        <v>2077</v>
      </c>
      <c r="AX47" s="60" t="s">
        <v>2078</v>
      </c>
      <c r="AY47" s="63" t="s">
        <v>2079</v>
      </c>
      <c r="AZ47" s="57" t="n">
        <v>20</v>
      </c>
      <c r="BA47" s="74" t="n">
        <v>34</v>
      </c>
      <c r="BB47" s="122" t="s">
        <v>2080</v>
      </c>
      <c r="BC47" s="76" t="n">
        <v>0</v>
      </c>
      <c r="BD47" s="76"/>
    </row>
    <row r="48" customFormat="false" ht="18" hidden="false" customHeight="true" outlineLevel="0" collapsed="false">
      <c r="A48" s="109"/>
      <c r="B48" s="64" t="n">
        <v>43</v>
      </c>
      <c r="C48" s="101" t="s">
        <v>48</v>
      </c>
      <c r="D48" s="66" t="s">
        <v>2081</v>
      </c>
      <c r="E48" s="68" t="s">
        <v>2082</v>
      </c>
      <c r="F48" s="68" t="s">
        <v>2083</v>
      </c>
      <c r="G48" s="68" t="s">
        <v>2084</v>
      </c>
      <c r="H48" s="68" t="s">
        <v>2085</v>
      </c>
      <c r="I48" s="68" t="s">
        <v>2086</v>
      </c>
      <c r="J48" s="68" t="s">
        <v>2087</v>
      </c>
      <c r="K48" s="67" t="s">
        <v>2088</v>
      </c>
      <c r="L48" s="68" t="s">
        <v>2089</v>
      </c>
      <c r="M48" s="68" t="s">
        <v>2090</v>
      </c>
      <c r="N48" s="69" t="s">
        <v>2091</v>
      </c>
      <c r="O48" s="66" t="s">
        <v>2092</v>
      </c>
      <c r="P48" s="68" t="s">
        <v>2093</v>
      </c>
      <c r="Q48" s="68" t="s">
        <v>2094</v>
      </c>
      <c r="R48" s="68" t="s">
        <v>2095</v>
      </c>
      <c r="S48" s="68" t="s">
        <v>2096</v>
      </c>
      <c r="T48" s="68" t="s">
        <v>2097</v>
      </c>
      <c r="U48" s="68" t="s">
        <v>2098</v>
      </c>
      <c r="V48" s="68" t="s">
        <v>2099</v>
      </c>
      <c r="W48" s="68" t="s">
        <v>2100</v>
      </c>
      <c r="X48" s="68" t="s">
        <v>2101</v>
      </c>
      <c r="Y48" s="67" t="s">
        <v>2102</v>
      </c>
      <c r="Z48" s="92" t="s">
        <v>2103</v>
      </c>
      <c r="AA48" s="64" t="s">
        <v>2104</v>
      </c>
      <c r="AB48" s="67" t="s">
        <v>2105</v>
      </c>
      <c r="AC48" s="67" t="s">
        <v>2106</v>
      </c>
      <c r="AD48" s="67" t="s">
        <v>2107</v>
      </c>
      <c r="AE48" s="67" t="s">
        <v>2108</v>
      </c>
      <c r="AF48" s="67" t="s">
        <v>2109</v>
      </c>
      <c r="AG48" s="67" t="s">
        <v>2110</v>
      </c>
      <c r="AH48" s="92" t="s">
        <v>2111</v>
      </c>
      <c r="AI48" s="64" t="s">
        <v>2112</v>
      </c>
      <c r="AJ48" s="67" t="s">
        <v>2113</v>
      </c>
      <c r="AK48" s="67" t="s">
        <v>2114</v>
      </c>
      <c r="AL48" s="67" t="s">
        <v>2115</v>
      </c>
      <c r="AM48" s="67" t="s">
        <v>2116</v>
      </c>
      <c r="AN48" s="67" t="s">
        <v>2117</v>
      </c>
      <c r="AO48" s="67" t="s">
        <v>2118</v>
      </c>
      <c r="AP48" s="67" t="s">
        <v>2119</v>
      </c>
      <c r="AQ48" s="92" t="s">
        <v>2120</v>
      </c>
      <c r="AR48" s="64" t="s">
        <v>2121</v>
      </c>
      <c r="AS48" s="67" t="s">
        <v>2122</v>
      </c>
      <c r="AT48" s="61"/>
      <c r="AU48" s="67" t="s">
        <v>2123</v>
      </c>
      <c r="AV48" s="67" t="s">
        <v>2124</v>
      </c>
      <c r="AW48" s="92" t="s">
        <v>2125</v>
      </c>
      <c r="AX48" s="64" t="s">
        <v>2126</v>
      </c>
      <c r="AY48" s="92" t="s">
        <v>2127</v>
      </c>
      <c r="AZ48" s="57" t="n">
        <v>8</v>
      </c>
      <c r="BA48" s="74" t="n">
        <v>35</v>
      </c>
      <c r="BB48" s="122" t="s">
        <v>2128</v>
      </c>
      <c r="BC48" s="76" t="n">
        <v>0</v>
      </c>
      <c r="BD48" s="76"/>
    </row>
    <row r="49" customFormat="false" ht="18" hidden="false" customHeight="true" outlineLevel="0" collapsed="false">
      <c r="A49" s="109"/>
      <c r="B49" s="60" t="n">
        <v>44</v>
      </c>
      <c r="C49" s="63" t="s">
        <v>49</v>
      </c>
      <c r="D49" s="60" t="s">
        <v>2129</v>
      </c>
      <c r="E49" s="62" t="s">
        <v>2130</v>
      </c>
      <c r="F49" s="62" t="s">
        <v>2131</v>
      </c>
      <c r="G49" s="62" t="s">
        <v>2132</v>
      </c>
      <c r="H49" s="62" t="s">
        <v>2133</v>
      </c>
      <c r="I49" s="62" t="s">
        <v>2134</v>
      </c>
      <c r="J49" s="62" t="s">
        <v>2135</v>
      </c>
      <c r="K49" s="62" t="s">
        <v>2136</v>
      </c>
      <c r="L49" s="62" t="s">
        <v>2137</v>
      </c>
      <c r="M49" s="62" t="s">
        <v>2138</v>
      </c>
      <c r="N49" s="63" t="s">
        <v>2139</v>
      </c>
      <c r="O49" s="60" t="s">
        <v>2140</v>
      </c>
      <c r="P49" s="62" t="s">
        <v>2141</v>
      </c>
      <c r="Q49" s="62" t="s">
        <v>2142</v>
      </c>
      <c r="R49" s="62" t="s">
        <v>2143</v>
      </c>
      <c r="S49" s="62" t="s">
        <v>2144</v>
      </c>
      <c r="T49" s="62" t="s">
        <v>2145</v>
      </c>
      <c r="U49" s="62" t="s">
        <v>2146</v>
      </c>
      <c r="V49" s="62" t="s">
        <v>2147</v>
      </c>
      <c r="W49" s="62" t="s">
        <v>2148</v>
      </c>
      <c r="X49" s="62" t="s">
        <v>2149</v>
      </c>
      <c r="Y49" s="62" t="s">
        <v>2150</v>
      </c>
      <c r="Z49" s="63" t="s">
        <v>2151</v>
      </c>
      <c r="AA49" s="60" t="s">
        <v>2152</v>
      </c>
      <c r="AB49" s="62" t="s">
        <v>2153</v>
      </c>
      <c r="AC49" s="62" t="s">
        <v>2154</v>
      </c>
      <c r="AD49" s="62" t="s">
        <v>2155</v>
      </c>
      <c r="AE49" s="62" t="s">
        <v>2156</v>
      </c>
      <c r="AF49" s="62" t="s">
        <v>2157</v>
      </c>
      <c r="AG49" s="62" t="s">
        <v>2158</v>
      </c>
      <c r="AH49" s="63" t="s">
        <v>2159</v>
      </c>
      <c r="AI49" s="60" t="s">
        <v>2160</v>
      </c>
      <c r="AJ49" s="62" t="s">
        <v>2161</v>
      </c>
      <c r="AK49" s="62" t="s">
        <v>2162</v>
      </c>
      <c r="AL49" s="62" t="s">
        <v>2163</v>
      </c>
      <c r="AM49" s="62" t="s">
        <v>2164</v>
      </c>
      <c r="AN49" s="62" t="s">
        <v>2165</v>
      </c>
      <c r="AO49" s="62" t="s">
        <v>2166</v>
      </c>
      <c r="AP49" s="62" t="s">
        <v>2167</v>
      </c>
      <c r="AQ49" s="63" t="s">
        <v>2168</v>
      </c>
      <c r="AR49" s="60" t="s">
        <v>2169</v>
      </c>
      <c r="AS49" s="62" t="s">
        <v>2170</v>
      </c>
      <c r="AT49" s="62" t="s">
        <v>2171</v>
      </c>
      <c r="AU49" s="61"/>
      <c r="AV49" s="62" t="s">
        <v>2172</v>
      </c>
      <c r="AW49" s="63" t="s">
        <v>2173</v>
      </c>
      <c r="AX49" s="60" t="s">
        <v>2174</v>
      </c>
      <c r="AY49" s="63" t="s">
        <v>2175</v>
      </c>
      <c r="AZ49" s="57" t="n">
        <v>25</v>
      </c>
      <c r="BA49" s="74" t="n">
        <v>36</v>
      </c>
      <c r="BB49" s="122" t="s">
        <v>2176</v>
      </c>
      <c r="BC49" s="76" t="n">
        <v>0</v>
      </c>
      <c r="BD49" s="76"/>
    </row>
    <row r="50" customFormat="false" ht="18" hidden="false" customHeight="true" outlineLevel="0" collapsed="false">
      <c r="A50" s="109"/>
      <c r="B50" s="64" t="n">
        <v>45</v>
      </c>
      <c r="C50" s="101" t="s">
        <v>50</v>
      </c>
      <c r="D50" s="66" t="s">
        <v>2177</v>
      </c>
      <c r="E50" s="68" t="s">
        <v>2178</v>
      </c>
      <c r="F50" s="68" t="s">
        <v>2179</v>
      </c>
      <c r="G50" s="68" t="s">
        <v>2180</v>
      </c>
      <c r="H50" s="68" t="s">
        <v>2181</v>
      </c>
      <c r="I50" s="68" t="s">
        <v>2182</v>
      </c>
      <c r="J50" s="68" t="s">
        <v>2183</v>
      </c>
      <c r="K50" s="68" t="s">
        <v>2184</v>
      </c>
      <c r="L50" s="68" t="s">
        <v>2185</v>
      </c>
      <c r="M50" s="68" t="s">
        <v>2186</v>
      </c>
      <c r="N50" s="69" t="s">
        <v>2187</v>
      </c>
      <c r="O50" s="66" t="s">
        <v>2188</v>
      </c>
      <c r="P50" s="68" t="s">
        <v>2189</v>
      </c>
      <c r="Q50" s="68" t="s">
        <v>2190</v>
      </c>
      <c r="R50" s="68" t="s">
        <v>2191</v>
      </c>
      <c r="S50" s="68" t="s">
        <v>2192</v>
      </c>
      <c r="T50" s="68" t="s">
        <v>2193</v>
      </c>
      <c r="U50" s="68" t="s">
        <v>2194</v>
      </c>
      <c r="V50" s="68" t="s">
        <v>2195</v>
      </c>
      <c r="W50" s="68" t="s">
        <v>2196</v>
      </c>
      <c r="X50" s="68" t="s">
        <v>2197</v>
      </c>
      <c r="Y50" s="67" t="s">
        <v>2198</v>
      </c>
      <c r="Z50" s="92" t="s">
        <v>2199</v>
      </c>
      <c r="AA50" s="64" t="s">
        <v>2200</v>
      </c>
      <c r="AB50" s="67" t="s">
        <v>2201</v>
      </c>
      <c r="AC50" s="67" t="s">
        <v>2202</v>
      </c>
      <c r="AD50" s="67" t="s">
        <v>2203</v>
      </c>
      <c r="AE50" s="67" t="s">
        <v>2204</v>
      </c>
      <c r="AF50" s="67" t="s">
        <v>2205</v>
      </c>
      <c r="AG50" s="67" t="s">
        <v>2206</v>
      </c>
      <c r="AH50" s="92" t="s">
        <v>2207</v>
      </c>
      <c r="AI50" s="64" t="s">
        <v>2208</v>
      </c>
      <c r="AJ50" s="67" t="s">
        <v>2209</v>
      </c>
      <c r="AK50" s="67" t="s">
        <v>2210</v>
      </c>
      <c r="AL50" s="67" t="s">
        <v>2211</v>
      </c>
      <c r="AM50" s="67" t="s">
        <v>2212</v>
      </c>
      <c r="AN50" s="67" t="s">
        <v>2213</v>
      </c>
      <c r="AO50" s="67" t="s">
        <v>2214</v>
      </c>
      <c r="AP50" s="67" t="s">
        <v>2215</v>
      </c>
      <c r="AQ50" s="92" t="s">
        <v>2216</v>
      </c>
      <c r="AR50" s="64" t="s">
        <v>2217</v>
      </c>
      <c r="AS50" s="67" t="s">
        <v>2218</v>
      </c>
      <c r="AT50" s="67" t="s">
        <v>2219</v>
      </c>
      <c r="AU50" s="67" t="s">
        <v>2220</v>
      </c>
      <c r="AV50" s="61"/>
      <c r="AW50" s="92" t="s">
        <v>2221</v>
      </c>
      <c r="AX50" s="64" t="s">
        <v>2222</v>
      </c>
      <c r="AY50" s="92" t="s">
        <v>2223</v>
      </c>
      <c r="AZ50" s="57" t="n">
        <v>14</v>
      </c>
      <c r="BA50" s="74" t="n">
        <v>37</v>
      </c>
      <c r="BB50" s="122" t="s">
        <v>2224</v>
      </c>
      <c r="BC50" s="76" t="n">
        <v>0</v>
      </c>
      <c r="BD50" s="76"/>
    </row>
    <row r="51" customFormat="false" ht="18" hidden="false" customHeight="true" outlineLevel="0" collapsed="false">
      <c r="A51" s="109"/>
      <c r="B51" s="105" t="n">
        <v>46</v>
      </c>
      <c r="C51" s="108" t="s">
        <v>51</v>
      </c>
      <c r="D51" s="105" t="s">
        <v>2225</v>
      </c>
      <c r="E51" s="107" t="s">
        <v>2226</v>
      </c>
      <c r="F51" s="107" t="s">
        <v>2227</v>
      </c>
      <c r="G51" s="107" t="s">
        <v>2228</v>
      </c>
      <c r="H51" s="107" t="s">
        <v>2229</v>
      </c>
      <c r="I51" s="107" t="s">
        <v>2230</v>
      </c>
      <c r="J51" s="107" t="s">
        <v>2231</v>
      </c>
      <c r="K51" s="107" t="s">
        <v>2232</v>
      </c>
      <c r="L51" s="107" t="s">
        <v>2233</v>
      </c>
      <c r="M51" s="107" t="s">
        <v>2234</v>
      </c>
      <c r="N51" s="108" t="s">
        <v>2235</v>
      </c>
      <c r="O51" s="105" t="s">
        <v>2236</v>
      </c>
      <c r="P51" s="107" t="s">
        <v>2237</v>
      </c>
      <c r="Q51" s="107" t="s">
        <v>2238</v>
      </c>
      <c r="R51" s="107" t="s">
        <v>2239</v>
      </c>
      <c r="S51" s="107" t="s">
        <v>2240</v>
      </c>
      <c r="T51" s="107" t="s">
        <v>2241</v>
      </c>
      <c r="U51" s="107" t="s">
        <v>2242</v>
      </c>
      <c r="V51" s="107" t="s">
        <v>2243</v>
      </c>
      <c r="W51" s="107" t="s">
        <v>2244</v>
      </c>
      <c r="X51" s="107" t="s">
        <v>2245</v>
      </c>
      <c r="Y51" s="107" t="s">
        <v>2246</v>
      </c>
      <c r="Z51" s="108" t="s">
        <v>2247</v>
      </c>
      <c r="AA51" s="105" t="s">
        <v>2248</v>
      </c>
      <c r="AB51" s="107" t="s">
        <v>2249</v>
      </c>
      <c r="AC51" s="107" t="s">
        <v>2250</v>
      </c>
      <c r="AD51" s="107" t="s">
        <v>2251</v>
      </c>
      <c r="AE51" s="107" t="s">
        <v>2252</v>
      </c>
      <c r="AF51" s="107" t="s">
        <v>2253</v>
      </c>
      <c r="AG51" s="107" t="s">
        <v>2254</v>
      </c>
      <c r="AH51" s="108" t="s">
        <v>2255</v>
      </c>
      <c r="AI51" s="105" t="s">
        <v>2256</v>
      </c>
      <c r="AJ51" s="107" t="s">
        <v>2257</v>
      </c>
      <c r="AK51" s="107" t="s">
        <v>2258</v>
      </c>
      <c r="AL51" s="107" t="s">
        <v>2259</v>
      </c>
      <c r="AM51" s="107" t="s">
        <v>2260</v>
      </c>
      <c r="AN51" s="107" t="s">
        <v>2261</v>
      </c>
      <c r="AO51" s="107" t="s">
        <v>2262</v>
      </c>
      <c r="AP51" s="107" t="s">
        <v>2263</v>
      </c>
      <c r="AQ51" s="108" t="s">
        <v>2264</v>
      </c>
      <c r="AR51" s="105" t="s">
        <v>2265</v>
      </c>
      <c r="AS51" s="107" t="s">
        <v>2266</v>
      </c>
      <c r="AT51" s="107" t="s">
        <v>2267</v>
      </c>
      <c r="AU51" s="107" t="s">
        <v>2268</v>
      </c>
      <c r="AV51" s="107" t="s">
        <v>2269</v>
      </c>
      <c r="AW51" s="98"/>
      <c r="AX51" s="105" t="s">
        <v>2270</v>
      </c>
      <c r="AY51" s="108" t="s">
        <v>2271</v>
      </c>
      <c r="AZ51" s="57" t="n">
        <v>64</v>
      </c>
      <c r="BA51" s="74" t="n">
        <v>38</v>
      </c>
      <c r="BB51" s="122" t="s">
        <v>2272</v>
      </c>
      <c r="BC51" s="76" t="n">
        <v>0</v>
      </c>
      <c r="BD51" s="76"/>
    </row>
    <row r="52" customFormat="false" ht="18" hidden="false" customHeight="true" outlineLevel="0" collapsed="false">
      <c r="A52" s="115" t="s">
        <v>2273</v>
      </c>
      <c r="B52" s="110" t="n">
        <v>47</v>
      </c>
      <c r="C52" s="111" t="s">
        <v>52</v>
      </c>
      <c r="D52" s="56" t="s">
        <v>2274</v>
      </c>
      <c r="E52" s="54" t="s">
        <v>2275</v>
      </c>
      <c r="F52" s="54" t="s">
        <v>2276</v>
      </c>
      <c r="G52" s="54" t="s">
        <v>2277</v>
      </c>
      <c r="H52" s="54" t="s">
        <v>2278</v>
      </c>
      <c r="I52" s="54" t="s">
        <v>2279</v>
      </c>
      <c r="J52" s="54" t="s">
        <v>2280</v>
      </c>
      <c r="K52" s="54" t="s">
        <v>2281</v>
      </c>
      <c r="L52" s="54" t="s">
        <v>2282</v>
      </c>
      <c r="M52" s="54" t="s">
        <v>2283</v>
      </c>
      <c r="N52" s="55" t="s">
        <v>2284</v>
      </c>
      <c r="O52" s="56" t="s">
        <v>2285</v>
      </c>
      <c r="P52" s="54" t="s">
        <v>2286</v>
      </c>
      <c r="Q52" s="54" t="s">
        <v>2287</v>
      </c>
      <c r="R52" s="54" t="s">
        <v>2288</v>
      </c>
      <c r="S52" s="54" t="s">
        <v>2289</v>
      </c>
      <c r="T52" s="54" t="s">
        <v>2290</v>
      </c>
      <c r="U52" s="54" t="s">
        <v>2291</v>
      </c>
      <c r="V52" s="54" t="s">
        <v>2292</v>
      </c>
      <c r="W52" s="54" t="s">
        <v>2293</v>
      </c>
      <c r="X52" s="54" t="s">
        <v>2294</v>
      </c>
      <c r="Y52" s="112" t="s">
        <v>2295</v>
      </c>
      <c r="Z52" s="113" t="s">
        <v>2296</v>
      </c>
      <c r="AA52" s="110" t="s">
        <v>2297</v>
      </c>
      <c r="AB52" s="112" t="s">
        <v>2298</v>
      </c>
      <c r="AC52" s="112" t="s">
        <v>2299</v>
      </c>
      <c r="AD52" s="112" t="s">
        <v>2300</v>
      </c>
      <c r="AE52" s="112" t="s">
        <v>2301</v>
      </c>
      <c r="AF52" s="112" t="s">
        <v>2302</v>
      </c>
      <c r="AG52" s="112" t="s">
        <v>2303</v>
      </c>
      <c r="AH52" s="113" t="s">
        <v>2304</v>
      </c>
      <c r="AI52" s="110" t="s">
        <v>2305</v>
      </c>
      <c r="AJ52" s="112" t="s">
        <v>2306</v>
      </c>
      <c r="AK52" s="112" t="s">
        <v>2307</v>
      </c>
      <c r="AL52" s="112" t="s">
        <v>2308</v>
      </c>
      <c r="AM52" s="112" t="s">
        <v>2309</v>
      </c>
      <c r="AN52" s="112" t="s">
        <v>2310</v>
      </c>
      <c r="AO52" s="112" t="s">
        <v>2311</v>
      </c>
      <c r="AP52" s="112" t="s">
        <v>2312</v>
      </c>
      <c r="AQ52" s="113" t="s">
        <v>2313</v>
      </c>
      <c r="AR52" s="110" t="s">
        <v>2314</v>
      </c>
      <c r="AS52" s="112" t="s">
        <v>2315</v>
      </c>
      <c r="AT52" s="112" t="s">
        <v>2316</v>
      </c>
      <c r="AU52" s="112" t="s">
        <v>2317</v>
      </c>
      <c r="AV52" s="112" t="s">
        <v>2318</v>
      </c>
      <c r="AW52" s="113" t="s">
        <v>2319</v>
      </c>
      <c r="AX52" s="53"/>
      <c r="AY52" s="113" t="s">
        <v>2320</v>
      </c>
      <c r="AZ52" s="57" t="n">
        <v>18</v>
      </c>
      <c r="BA52" s="74" t="n">
        <v>39</v>
      </c>
      <c r="BB52" s="122" t="s">
        <v>2321</v>
      </c>
      <c r="BC52" s="76" t="n">
        <v>0</v>
      </c>
      <c r="BD52" s="76"/>
    </row>
    <row r="53" customFormat="false" ht="18" hidden="false" customHeight="true" outlineLevel="0" collapsed="false">
      <c r="A53" s="115"/>
      <c r="B53" s="105" t="n">
        <v>48</v>
      </c>
      <c r="C53" s="108" t="s">
        <v>53</v>
      </c>
      <c r="D53" s="105" t="s">
        <v>2322</v>
      </c>
      <c r="E53" s="107" t="s">
        <v>2323</v>
      </c>
      <c r="F53" s="107" t="s">
        <v>2324</v>
      </c>
      <c r="G53" s="107" t="s">
        <v>2325</v>
      </c>
      <c r="H53" s="107" t="s">
        <v>2326</v>
      </c>
      <c r="I53" s="107" t="s">
        <v>2327</v>
      </c>
      <c r="J53" s="107" t="s">
        <v>2328</v>
      </c>
      <c r="K53" s="107" t="s">
        <v>2329</v>
      </c>
      <c r="L53" s="107" t="s">
        <v>2330</v>
      </c>
      <c r="M53" s="107" t="s">
        <v>2331</v>
      </c>
      <c r="N53" s="108" t="s">
        <v>2332</v>
      </c>
      <c r="O53" s="105" t="s">
        <v>2333</v>
      </c>
      <c r="P53" s="107" t="s">
        <v>2334</v>
      </c>
      <c r="Q53" s="107" t="s">
        <v>2335</v>
      </c>
      <c r="R53" s="107" t="s">
        <v>2336</v>
      </c>
      <c r="S53" s="107" t="s">
        <v>2337</v>
      </c>
      <c r="T53" s="107" t="s">
        <v>2338</v>
      </c>
      <c r="U53" s="107" t="s">
        <v>2339</v>
      </c>
      <c r="V53" s="107" t="s">
        <v>2340</v>
      </c>
      <c r="W53" s="107" t="s">
        <v>2341</v>
      </c>
      <c r="X53" s="107" t="s">
        <v>2342</v>
      </c>
      <c r="Y53" s="107" t="s">
        <v>2343</v>
      </c>
      <c r="Z53" s="108" t="s">
        <v>2344</v>
      </c>
      <c r="AA53" s="105" t="s">
        <v>2345</v>
      </c>
      <c r="AB53" s="107" t="s">
        <v>2346</v>
      </c>
      <c r="AC53" s="107" t="s">
        <v>2347</v>
      </c>
      <c r="AD53" s="107" t="s">
        <v>2348</v>
      </c>
      <c r="AE53" s="107" t="s">
        <v>2349</v>
      </c>
      <c r="AF53" s="107" t="s">
        <v>2350</v>
      </c>
      <c r="AG53" s="107" t="s">
        <v>2351</v>
      </c>
      <c r="AH53" s="108" t="s">
        <v>2352</v>
      </c>
      <c r="AI53" s="105" t="s">
        <v>2353</v>
      </c>
      <c r="AJ53" s="107" t="s">
        <v>2354</v>
      </c>
      <c r="AK53" s="107" t="s">
        <v>2355</v>
      </c>
      <c r="AL53" s="107" t="s">
        <v>2356</v>
      </c>
      <c r="AM53" s="107" t="s">
        <v>2357</v>
      </c>
      <c r="AN53" s="107" t="s">
        <v>2358</v>
      </c>
      <c r="AO53" s="107" t="s">
        <v>2359</v>
      </c>
      <c r="AP53" s="107" t="s">
        <v>2360</v>
      </c>
      <c r="AQ53" s="108" t="s">
        <v>2361</v>
      </c>
      <c r="AR53" s="105" t="s">
        <v>2362</v>
      </c>
      <c r="AS53" s="107" t="s">
        <v>2363</v>
      </c>
      <c r="AT53" s="107" t="s">
        <v>2364</v>
      </c>
      <c r="AU53" s="107" t="s">
        <v>2365</v>
      </c>
      <c r="AV53" s="107" t="s">
        <v>2366</v>
      </c>
      <c r="AW53" s="108" t="s">
        <v>2367</v>
      </c>
      <c r="AX53" s="105" t="s">
        <v>2368</v>
      </c>
      <c r="AY53" s="98"/>
      <c r="AZ53" s="57" t="n">
        <v>21</v>
      </c>
      <c r="BA53" s="74" t="n">
        <v>40</v>
      </c>
      <c r="BB53" s="122" t="s">
        <v>2369</v>
      </c>
      <c r="BC53" s="76" t="n">
        <v>0</v>
      </c>
      <c r="BD53" s="76"/>
    </row>
    <row r="54" customFormat="false" ht="12.75" hidden="false" customHeight="false" outlineLevel="0" collapsed="false">
      <c r="B54" s="48" t="n">
        <v>24</v>
      </c>
      <c r="D54" s="57" t="n">
        <v>9</v>
      </c>
      <c r="E54" s="57" t="n">
        <v>9</v>
      </c>
      <c r="F54" s="57" t="n">
        <v>20</v>
      </c>
      <c r="G54" s="57" t="n">
        <v>36</v>
      </c>
      <c r="H54" s="57" t="n">
        <v>33</v>
      </c>
      <c r="I54" s="57" t="n">
        <v>28</v>
      </c>
      <c r="J54" s="57" t="n">
        <v>74</v>
      </c>
      <c r="K54" s="57" t="n">
        <v>34</v>
      </c>
      <c r="L54" s="57" t="n">
        <v>89</v>
      </c>
      <c r="M54" s="57" t="n">
        <v>30</v>
      </c>
      <c r="N54" s="57" t="n">
        <v>135</v>
      </c>
      <c r="O54" s="57" t="n">
        <v>21</v>
      </c>
      <c r="P54" s="57" t="n">
        <v>19</v>
      </c>
      <c r="Q54" s="57" t="n">
        <v>10</v>
      </c>
      <c r="R54" s="57" t="n">
        <v>16</v>
      </c>
      <c r="S54" s="57" t="n">
        <v>15</v>
      </c>
      <c r="T54" s="57" t="n">
        <v>6</v>
      </c>
      <c r="U54" s="57" t="n">
        <v>14</v>
      </c>
      <c r="V54" s="57" t="n">
        <v>11</v>
      </c>
      <c r="W54" s="57" t="n">
        <v>22</v>
      </c>
      <c r="X54" s="57" t="n">
        <v>5</v>
      </c>
      <c r="Y54" s="57" t="n">
        <v>10</v>
      </c>
      <c r="Z54" s="57" t="n">
        <v>8</v>
      </c>
      <c r="AA54" s="57" t="n">
        <v>23</v>
      </c>
      <c r="AB54" s="57" t="n">
        <v>22</v>
      </c>
      <c r="AC54" s="57" t="n">
        <v>26</v>
      </c>
      <c r="AD54" s="57" t="n">
        <v>19</v>
      </c>
      <c r="AE54" s="57" t="n">
        <v>114</v>
      </c>
      <c r="AF54" s="57" t="n">
        <v>25</v>
      </c>
      <c r="AG54" s="57" t="n">
        <v>25</v>
      </c>
      <c r="AH54" s="57" t="n">
        <v>17</v>
      </c>
      <c r="AI54" s="57" t="n">
        <v>33</v>
      </c>
      <c r="AJ54" s="57" t="n">
        <v>30</v>
      </c>
      <c r="AK54" s="57" t="n">
        <v>35</v>
      </c>
      <c r="AL54" s="57" t="n">
        <v>8</v>
      </c>
      <c r="AM54" s="57" t="n">
        <v>16</v>
      </c>
      <c r="AN54" s="57" t="n">
        <v>37</v>
      </c>
      <c r="AO54" s="57" t="n">
        <v>17</v>
      </c>
      <c r="AP54" s="57" t="n">
        <v>122</v>
      </c>
      <c r="AQ54" s="57" t="n">
        <v>5</v>
      </c>
      <c r="AR54" s="57" t="n">
        <v>9</v>
      </c>
      <c r="AS54" s="57" t="n">
        <v>2</v>
      </c>
      <c r="AT54" s="57" t="n">
        <v>6</v>
      </c>
      <c r="AU54" s="57" t="n">
        <v>9</v>
      </c>
      <c r="AV54" s="57" t="n">
        <v>13</v>
      </c>
      <c r="AW54" s="57" t="n">
        <v>32</v>
      </c>
      <c r="AX54" s="57" t="n">
        <v>17</v>
      </c>
      <c r="AY54" s="57" t="n">
        <v>11</v>
      </c>
    </row>
    <row r="55" customFormat="false" ht="3" hidden="false" customHeight="true" outlineLevel="0" collapsed="false"/>
    <row r="56" customFormat="false" ht="11.25" hidden="false" customHeight="true" outlineLevel="0" collapsed="false">
      <c r="C56" s="1" t="s">
        <v>2370</v>
      </c>
      <c r="F56" s="1" t="s">
        <v>2371</v>
      </c>
      <c r="J56" s="1" t="s">
        <v>2372</v>
      </c>
      <c r="Z56" s="1" t="s">
        <v>2373</v>
      </c>
      <c r="AE56" s="1" t="s">
        <v>2374</v>
      </c>
      <c r="BA56" s="116" t="s">
        <v>2375</v>
      </c>
      <c r="BB56" s="116"/>
    </row>
  </sheetData>
  <mergeCells count="14">
    <mergeCell ref="D2:N3"/>
    <mergeCell ref="O2:Z3"/>
    <mergeCell ref="AA2:AH3"/>
    <mergeCell ref="AI2:AQ3"/>
    <mergeCell ref="AR2:AW3"/>
    <mergeCell ref="AX2:AY3"/>
    <mergeCell ref="A6:A16"/>
    <mergeCell ref="BA13:BB13"/>
    <mergeCell ref="A17:A28"/>
    <mergeCell ref="A29:A36"/>
    <mergeCell ref="A37:A45"/>
    <mergeCell ref="A46:A51"/>
    <mergeCell ref="A52:A53"/>
    <mergeCell ref="BA56:BB56"/>
  </mergeCells>
  <conditionalFormatting sqref="BB14:BB53">
    <cfRule type="colorScale" priority="2">
      <colorScale>
        <cfvo type="formula" val="MIN($BD$14:$BD$53)"/>
        <cfvo type="percent" val="50"/>
        <cfvo type="formula" val="MAX($BD$14:$BD$53)"/>
        <color rgb="FF00B050"/>
        <color rgb="FFFFEB84"/>
        <color rgb="FFFF0000"/>
      </colorScale>
    </cfRule>
  </conditionalFormatting>
  <printOptions headings="false" gridLines="false" gridLinesSet="true" horizontalCentered="false" verticalCentered="false"/>
  <pageMargins left="0.275694444444444" right="0.157638888888889" top="0.984027777777778" bottom="0.196527777777778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52</xdr:col>
                    <xdr:colOff>122040</xdr:colOff>
                    <xdr:row>8</xdr:row>
                    <xdr:rowOff>114480</xdr:rowOff>
                  </from>
                  <to>
                    <xdr:col>53</xdr:col>
                    <xdr:colOff>838440</xdr:colOff>
                    <xdr:row>10</xdr:row>
                    <xdr:rowOff>122040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CommandButton2">
              <controlPr defaultSize="0" print="true" autoFill="0" autoPict="0">
                <anchor moveWithCells="true" sizeWithCells="false">
                  <from>
                    <xdr:col>53</xdr:col>
                    <xdr:colOff>906840</xdr:colOff>
                    <xdr:row>8</xdr:row>
                    <xdr:rowOff>114480</xdr:rowOff>
                  </from>
                  <to>
                    <xdr:col>54</xdr:col>
                    <xdr:colOff>-753480</xdr:colOff>
                    <xdr:row>10</xdr:row>
                    <xdr:rowOff>122040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CommandButton3">
              <controlPr defaultSize="0" print="true" autoFill="0" autoPict="0">
                <anchor moveWithCells="true" sizeWithCells="false">
                  <from>
                    <xdr:col>52</xdr:col>
                    <xdr:colOff>129600</xdr:colOff>
                    <xdr:row>1</xdr:row>
                    <xdr:rowOff>76320</xdr:rowOff>
                  </from>
                  <to>
                    <xdr:col>53</xdr:col>
                    <xdr:colOff>838440</xdr:colOff>
                    <xdr:row>3</xdr:row>
                    <xdr:rowOff>175320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CommandButton4">
              <controlPr defaultSize="0" print="true" autoFill="0" autoPict="0">
                <anchor moveWithCells="true" sizeWithCells="false">
                  <from>
                    <xdr:col>53</xdr:col>
                    <xdr:colOff>952560</xdr:colOff>
                    <xdr:row>1</xdr:row>
                    <xdr:rowOff>76320</xdr:rowOff>
                  </from>
                  <to>
                    <xdr:col>54</xdr:col>
                    <xdr:colOff>-776160</xdr:colOff>
                    <xdr:row>3</xdr:row>
                    <xdr:rowOff>175320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4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12" activeCellId="0" sqref="G12"/>
    </sheetView>
  </sheetViews>
  <sheetFormatPr defaultColWidth="10.54296875" defaultRowHeight="12.75" zeroHeight="false" outlineLevelRow="0" outlineLevelCol="0"/>
  <cols>
    <col collapsed="false" customWidth="true" hidden="false" outlineLevel="0" max="1" min="1" style="0" width="35.43"/>
  </cols>
  <sheetData>
    <row r="1" customFormat="false" ht="12.75" hidden="false" customHeight="false" outlineLevel="0" collapsed="false">
      <c r="A1" s="0" t="s">
        <v>4888</v>
      </c>
      <c r="B1" s="391" t="s">
        <v>4889</v>
      </c>
      <c r="C1" s="0" t="s">
        <v>4890</v>
      </c>
      <c r="D1" s="391" t="s">
        <v>4891</v>
      </c>
    </row>
    <row r="2" customFormat="false" ht="12.75" hidden="false" customHeight="false" outlineLevel="0" collapsed="false">
      <c r="A2" s="0" t="str">
        <f aca="false">Analyzer!BB14</f>
        <v>Zerlegen, Zerteilen</v>
      </c>
      <c r="B2" s="0" t="n">
        <f aca="false">Analyzer!BA14</f>
        <v>1</v>
      </c>
      <c r="C2" s="0" t="n">
        <f aca="false">Analyzer!BC14</f>
        <v>1</v>
      </c>
      <c r="D2" s="0" t="n">
        <f aca="false">ROUND((C2*100/MAX($C$2:$C$41)),0)</f>
        <v>10</v>
      </c>
    </row>
    <row r="3" customFormat="false" ht="12.75" hidden="false" customHeight="false" outlineLevel="0" collapsed="false">
      <c r="A3" s="0" t="str">
        <f aca="false">Analyzer!BB15</f>
        <v>Abtrennen</v>
      </c>
      <c r="B3" s="0" t="n">
        <f aca="false">Analyzer!BA15</f>
        <v>2</v>
      </c>
      <c r="C3" s="0" t="n">
        <f aca="false">Analyzer!BC15</f>
        <v>0</v>
      </c>
      <c r="D3" s="0" t="n">
        <f aca="false">ROUND((C3*100/MAX($C$2:$C$41)),0)</f>
        <v>0</v>
      </c>
    </row>
    <row r="4" customFormat="false" ht="12.75" hidden="false" customHeight="false" outlineLevel="0" collapsed="false">
      <c r="A4" s="0" t="str">
        <f aca="false">Analyzer!BB16</f>
        <v>Lokale Eigenschaft</v>
      </c>
      <c r="B4" s="0" t="n">
        <f aca="false">Analyzer!BA16</f>
        <v>3</v>
      </c>
      <c r="C4" s="0" t="n">
        <f aca="false">Analyzer!BC16</f>
        <v>1</v>
      </c>
      <c r="D4" s="0" t="n">
        <f aca="false">ROUND((C4*100/MAX($C$2:$C$41)),0)</f>
        <v>10</v>
      </c>
    </row>
    <row r="5" customFormat="false" ht="12.75" hidden="false" customHeight="false" outlineLevel="0" collapsed="false">
      <c r="A5" s="0" t="str">
        <f aca="false">Analyzer!BB17</f>
        <v>Asymmetrie</v>
      </c>
      <c r="B5" s="0" t="n">
        <f aca="false">Analyzer!BA17</f>
        <v>4</v>
      </c>
      <c r="C5" s="0" t="n">
        <f aca="false">Analyzer!BC17</f>
        <v>0</v>
      </c>
      <c r="D5" s="0" t="n">
        <f aca="false">ROUND((C5*100/MAX($C$2:$C$41)),0)</f>
        <v>0</v>
      </c>
    </row>
    <row r="6" customFormat="false" ht="12.75" hidden="false" customHeight="false" outlineLevel="0" collapsed="false">
      <c r="A6" s="0" t="str">
        <f aca="false">Analyzer!BB18</f>
        <v>Vereinen</v>
      </c>
      <c r="B6" s="0" t="n">
        <f aca="false">Analyzer!BA18</f>
        <v>5</v>
      </c>
      <c r="C6" s="0" t="n">
        <f aca="false">Analyzer!BC18</f>
        <v>0</v>
      </c>
      <c r="D6" s="0" t="n">
        <f aca="false">ROUND((C6*100/MAX($C$2:$C$41)),0)</f>
        <v>0</v>
      </c>
    </row>
    <row r="7" customFormat="false" ht="12.75" hidden="false" customHeight="false" outlineLevel="0" collapsed="false">
      <c r="A7" s="0" t="str">
        <f aca="false">Analyzer!BB19</f>
        <v>Mehrzwecknutzung</v>
      </c>
      <c r="B7" s="0" t="n">
        <f aca="false">Analyzer!BA19</f>
        <v>6</v>
      </c>
      <c r="C7" s="0" t="n">
        <f aca="false">Analyzer!BC19</f>
        <v>0</v>
      </c>
      <c r="D7" s="0" t="n">
        <f aca="false">ROUND((C7*100/MAX($C$2:$C$41)),0)</f>
        <v>0</v>
      </c>
    </row>
    <row r="8" customFormat="false" ht="12.75" hidden="false" customHeight="false" outlineLevel="0" collapsed="false">
      <c r="A8" s="0" t="str">
        <f aca="false">Analyzer!BB20</f>
        <v>Verschachtelung</v>
      </c>
      <c r="B8" s="0" t="n">
        <f aca="false">Analyzer!BA20</f>
        <v>7</v>
      </c>
      <c r="C8" s="0" t="n">
        <f aca="false">Analyzer!BC20</f>
        <v>0</v>
      </c>
      <c r="D8" s="0" t="n">
        <f aca="false">ROUND((C8*100/MAX($C$2:$C$41)),0)</f>
        <v>0</v>
      </c>
    </row>
    <row r="9" customFormat="false" ht="12.75" hidden="false" customHeight="false" outlineLevel="0" collapsed="false">
      <c r="A9" s="0" t="str">
        <f aca="false">Analyzer!BB21</f>
        <v>Gegengewicht</v>
      </c>
      <c r="B9" s="0" t="n">
        <f aca="false">Analyzer!BA21</f>
        <v>8</v>
      </c>
      <c r="C9" s="0" t="n">
        <f aca="false">Analyzer!BC21</f>
        <v>0</v>
      </c>
      <c r="D9" s="0" t="n">
        <f aca="false">ROUND((C9*100/MAX($C$2:$C$41)),0)</f>
        <v>0</v>
      </c>
    </row>
    <row r="10" customFormat="false" ht="12.75" hidden="false" customHeight="false" outlineLevel="0" collapsed="false">
      <c r="A10" s="0" t="str">
        <f aca="false">Analyzer!BB22</f>
        <v>Vorgezogene Gegenaktion</v>
      </c>
      <c r="B10" s="0" t="n">
        <f aca="false">Analyzer!BA22</f>
        <v>9</v>
      </c>
      <c r="C10" s="0" t="n">
        <f aca="false">Analyzer!BC22</f>
        <v>0</v>
      </c>
      <c r="D10" s="0" t="n">
        <f aca="false">ROUND((C10*100/MAX($C$2:$C$41)),0)</f>
        <v>0</v>
      </c>
    </row>
    <row r="11" customFormat="false" ht="12.75" hidden="false" customHeight="false" outlineLevel="0" collapsed="false">
      <c r="A11" s="0" t="str">
        <f aca="false">Analyzer!BB23</f>
        <v>Vorgezogene Aktion</v>
      </c>
      <c r="B11" s="0" t="n">
        <f aca="false">Analyzer!BA23</f>
        <v>10</v>
      </c>
      <c r="C11" s="0" t="n">
        <f aca="false">Analyzer!BC23</f>
        <v>1</v>
      </c>
      <c r="D11" s="0" t="n">
        <f aca="false">ROUND((C11*100/MAX($C$2:$C$41)),0)</f>
        <v>10</v>
      </c>
    </row>
    <row r="12" customFormat="false" ht="12.75" hidden="false" customHeight="false" outlineLevel="0" collapsed="false">
      <c r="A12" s="0" t="str">
        <f aca="false">Analyzer!BB24</f>
        <v>Vorbeugemaßnahme</v>
      </c>
      <c r="B12" s="0" t="n">
        <f aca="false">Analyzer!BA24</f>
        <v>11</v>
      </c>
      <c r="C12" s="0" t="n">
        <f aca="false">Analyzer!BC24</f>
        <v>0</v>
      </c>
      <c r="D12" s="0" t="n">
        <f aca="false">ROUND((C12*100/MAX($C$2:$C$41)),0)</f>
        <v>0</v>
      </c>
    </row>
    <row r="13" customFormat="false" ht="12.75" hidden="false" customHeight="false" outlineLevel="0" collapsed="false">
      <c r="A13" s="0" t="str">
        <f aca="false">Analyzer!BB25</f>
        <v>Äquipotentialprinzip</v>
      </c>
      <c r="B13" s="0" t="n">
        <f aca="false">Analyzer!BA25</f>
        <v>12</v>
      </c>
      <c r="C13" s="0" t="n">
        <f aca="false">Analyzer!BC25</f>
        <v>0</v>
      </c>
      <c r="D13" s="0" t="n">
        <f aca="false">ROUND((C13*100/MAX($C$2:$C$41)),0)</f>
        <v>0</v>
      </c>
    </row>
    <row r="14" customFormat="false" ht="12.75" hidden="false" customHeight="false" outlineLevel="0" collapsed="false">
      <c r="A14" s="0" t="str">
        <f aca="false">Analyzer!BB26</f>
        <v>Funktionsumkehr</v>
      </c>
      <c r="B14" s="0" t="n">
        <f aca="false">Analyzer!BA26</f>
        <v>13</v>
      </c>
      <c r="C14" s="0" t="n">
        <f aca="false">Analyzer!BC26</f>
        <v>0</v>
      </c>
      <c r="D14" s="0" t="n">
        <f aca="false">ROUND((C14*100/MAX($C$2:$C$41)),0)</f>
        <v>0</v>
      </c>
    </row>
    <row r="15" customFormat="false" ht="12.75" hidden="false" customHeight="false" outlineLevel="0" collapsed="false">
      <c r="A15" s="0" t="str">
        <f aca="false">Analyzer!BB27</f>
        <v>Krümmung</v>
      </c>
      <c r="B15" s="0" t="n">
        <f aca="false">Analyzer!BA27</f>
        <v>14</v>
      </c>
      <c r="C15" s="0" t="n">
        <f aca="false">Analyzer!BC27</f>
        <v>0</v>
      </c>
      <c r="D15" s="0" t="n">
        <f aca="false">ROUND((C15*100/MAX($C$2:$C$41)),0)</f>
        <v>0</v>
      </c>
    </row>
    <row r="16" customFormat="false" ht="12.75" hidden="false" customHeight="false" outlineLevel="0" collapsed="false">
      <c r="A16" s="0" t="str">
        <f aca="false">Analyzer!BB28</f>
        <v>Anpassung</v>
      </c>
      <c r="B16" s="0" t="n">
        <f aca="false">Analyzer!BA28</f>
        <v>15</v>
      </c>
      <c r="C16" s="0" t="n">
        <f aca="false">Analyzer!BC28</f>
        <v>1</v>
      </c>
      <c r="D16" s="0" t="n">
        <f aca="false">ROUND((C16*100/MAX($C$2:$C$41)),0)</f>
        <v>10</v>
      </c>
    </row>
    <row r="17" customFormat="false" ht="12.75" hidden="false" customHeight="false" outlineLevel="0" collapsed="false">
      <c r="A17" s="0" t="str">
        <f aca="false">Analyzer!BB29</f>
        <v>Partielle oder überschüssige Wirkung</v>
      </c>
      <c r="B17" s="0" t="n">
        <f aca="false">Analyzer!BA29</f>
        <v>16</v>
      </c>
      <c r="C17" s="0" t="n">
        <f aca="false">Analyzer!BC29</f>
        <v>0</v>
      </c>
      <c r="D17" s="0" t="n">
        <f aca="false">ROUND((C17*100/MAX($C$2:$C$41)),0)</f>
        <v>0</v>
      </c>
    </row>
    <row r="18" customFormat="false" ht="12.75" hidden="false" customHeight="false" outlineLevel="0" collapsed="false">
      <c r="A18" s="0" t="str">
        <f aca="false">Analyzer!BB30</f>
        <v>Höhere Dimension</v>
      </c>
      <c r="B18" s="0" t="n">
        <f aca="false">Analyzer!BA30</f>
        <v>17</v>
      </c>
      <c r="C18" s="0" t="n">
        <f aca="false">Analyzer!BC30</f>
        <v>0</v>
      </c>
      <c r="D18" s="0" t="n">
        <f aca="false">ROUND((C18*100/MAX($C$2:$C$41)),0)</f>
        <v>0</v>
      </c>
    </row>
    <row r="19" customFormat="false" ht="12.75" hidden="false" customHeight="false" outlineLevel="0" collapsed="false">
      <c r="A19" s="0" t="str">
        <f aca="false">Analyzer!BB31</f>
        <v>Schwingungen</v>
      </c>
      <c r="B19" s="0" t="n">
        <f aca="false">Analyzer!BA31</f>
        <v>18</v>
      </c>
      <c r="C19" s="0" t="n">
        <f aca="false">Analyzer!BC31</f>
        <v>0</v>
      </c>
      <c r="D19" s="0" t="n">
        <f aca="false">ROUND((C19*100/MAX($C$2:$C$41)),0)</f>
        <v>0</v>
      </c>
    </row>
    <row r="20" customFormat="false" ht="12.75" hidden="false" customHeight="false" outlineLevel="0" collapsed="false">
      <c r="A20" s="0" t="str">
        <f aca="false">Analyzer!BB32</f>
        <v>Periodische Wirkung</v>
      </c>
      <c r="B20" s="0" t="n">
        <f aca="false">Analyzer!BA32</f>
        <v>19</v>
      </c>
      <c r="C20" s="0" t="n">
        <f aca="false">Analyzer!BC32</f>
        <v>1</v>
      </c>
      <c r="D20" s="0" t="n">
        <f aca="false">ROUND((C20*100/MAX($C$2:$C$41)),0)</f>
        <v>10</v>
      </c>
    </row>
    <row r="21" customFormat="false" ht="12.75" hidden="false" customHeight="false" outlineLevel="0" collapsed="false">
      <c r="A21" s="0" t="str">
        <f aca="false">Analyzer!BB33</f>
        <v>Kontinuität nützlicher Aktionen</v>
      </c>
      <c r="B21" s="0" t="n">
        <f aca="false">Analyzer!BA33</f>
        <v>20</v>
      </c>
      <c r="C21" s="0" t="n">
        <f aca="false">Analyzer!BC33</f>
        <v>0</v>
      </c>
      <c r="D21" s="0" t="n">
        <f aca="false">ROUND((C21*100/MAX($C$2:$C$41)),0)</f>
        <v>0</v>
      </c>
    </row>
    <row r="22" customFormat="false" ht="12.75" hidden="false" customHeight="false" outlineLevel="0" collapsed="false">
      <c r="A22" s="0" t="str">
        <f aca="false">Analyzer!BB34</f>
        <v>Durcheilen und Überspringen</v>
      </c>
      <c r="B22" s="0" t="n">
        <f aca="false">Analyzer!BA34</f>
        <v>21</v>
      </c>
      <c r="C22" s="0" t="n">
        <f aca="false">Analyzer!BC34</f>
        <v>0</v>
      </c>
      <c r="D22" s="0" t="n">
        <f aca="false">ROUND((C22*100/MAX($C$2:$C$41)),0)</f>
        <v>0</v>
      </c>
    </row>
    <row r="23" customFormat="false" ht="12.75" hidden="false" customHeight="false" outlineLevel="0" collapsed="false">
      <c r="A23" s="0" t="str">
        <f aca="false">Analyzer!BB35</f>
        <v>Zulassen des Unzulässigen</v>
      </c>
      <c r="B23" s="0" t="n">
        <f aca="false">Analyzer!BA35</f>
        <v>22</v>
      </c>
      <c r="C23" s="0" t="n">
        <f aca="false">Analyzer!BC35</f>
        <v>0</v>
      </c>
      <c r="D23" s="0" t="n">
        <f aca="false">ROUND((C23*100/MAX($C$2:$C$41)),0)</f>
        <v>0</v>
      </c>
    </row>
    <row r="24" customFormat="false" ht="12.75" hidden="false" customHeight="false" outlineLevel="0" collapsed="false">
      <c r="A24" s="0" t="str">
        <f aca="false">Analyzer!BB36</f>
        <v>Rückkopplung / Rückmeldung</v>
      </c>
      <c r="B24" s="0" t="n">
        <f aca="false">Analyzer!BA36</f>
        <v>23</v>
      </c>
      <c r="C24" s="0" t="n">
        <f aca="false">Analyzer!BC36</f>
        <v>0</v>
      </c>
      <c r="D24" s="0" t="n">
        <f aca="false">ROUND((C24*100/MAX($C$2:$C$41)),0)</f>
        <v>0</v>
      </c>
    </row>
    <row r="25" customFormat="false" ht="12.75" hidden="false" customHeight="false" outlineLevel="0" collapsed="false">
      <c r="A25" s="0" t="str">
        <f aca="false">Analyzer!BB37</f>
        <v>Mediator, Vermittler</v>
      </c>
      <c r="B25" s="0" t="n">
        <f aca="false">Analyzer!BA37</f>
        <v>24</v>
      </c>
      <c r="C25" s="0" t="n">
        <f aca="false">Analyzer!BC37</f>
        <v>0</v>
      </c>
      <c r="D25" s="0" t="n">
        <f aca="false">ROUND((C25*100/MAX($C$2:$C$41)),0)</f>
        <v>0</v>
      </c>
    </row>
    <row r="26" customFormat="false" ht="12.75" hidden="false" customHeight="false" outlineLevel="0" collapsed="false">
      <c r="A26" s="0" t="str">
        <f aca="false">Analyzer!BB38</f>
        <v>Selbstversorgung und -bedienung</v>
      </c>
      <c r="B26" s="0" t="n">
        <f aca="false">Analyzer!BA38</f>
        <v>25</v>
      </c>
      <c r="C26" s="0" t="n">
        <f aca="false">Analyzer!BC38</f>
        <v>0</v>
      </c>
      <c r="D26" s="0" t="n">
        <f aca="false">ROUND((C26*100/MAX($C$2:$C$41)),0)</f>
        <v>0</v>
      </c>
    </row>
    <row r="27" customFormat="false" ht="12.75" hidden="false" customHeight="false" outlineLevel="0" collapsed="false">
      <c r="A27" s="0" t="str">
        <f aca="false">Analyzer!BB39</f>
        <v>Arbeiten mit Modellen oder Kopien</v>
      </c>
      <c r="B27" s="0" t="n">
        <f aca="false">Analyzer!BA39</f>
        <v>26</v>
      </c>
      <c r="C27" s="0" t="n">
        <f aca="false">Analyzer!BC39</f>
        <v>0</v>
      </c>
      <c r="D27" s="0" t="n">
        <f aca="false">ROUND((C27*100/MAX($C$2:$C$41)),0)</f>
        <v>0</v>
      </c>
    </row>
    <row r="28" customFormat="false" ht="12.75" hidden="false" customHeight="false" outlineLevel="0" collapsed="false">
      <c r="A28" s="0" t="str">
        <f aca="false">Analyzer!BB40</f>
        <v>Billige Kurzlebigk. statt teure Langlebigk.</v>
      </c>
      <c r="B28" s="0" t="n">
        <f aca="false">Analyzer!BA40</f>
        <v>27</v>
      </c>
      <c r="C28" s="0" t="n">
        <f aca="false">Analyzer!BC40</f>
        <v>0</v>
      </c>
      <c r="D28" s="0" t="n">
        <f aca="false">ROUND((C28*100/MAX($C$2:$C$41)),0)</f>
        <v>0</v>
      </c>
    </row>
    <row r="29" customFormat="false" ht="12.75" hidden="false" customHeight="false" outlineLevel="0" collapsed="false">
      <c r="A29" s="0" t="str">
        <f aca="false">Analyzer!BB41</f>
        <v>Ersatz mechanischer Wirkprinzipien</v>
      </c>
      <c r="B29" s="0" t="n">
        <f aca="false">Analyzer!BA41</f>
        <v>28</v>
      </c>
      <c r="C29" s="0" t="n">
        <f aca="false">Analyzer!BC41</f>
        <v>0</v>
      </c>
      <c r="D29" s="0" t="n">
        <f aca="false">ROUND((C29*100/MAX($C$2:$C$41)),0)</f>
        <v>0</v>
      </c>
    </row>
    <row r="30" customFormat="false" ht="12.75" hidden="false" customHeight="false" outlineLevel="0" collapsed="false">
      <c r="A30" s="0" t="str">
        <f aca="false">Analyzer!BB42</f>
        <v>Pneumatik und Hydraulik</v>
      </c>
      <c r="B30" s="0" t="n">
        <f aca="false">Analyzer!BA42</f>
        <v>29</v>
      </c>
      <c r="C30" s="0" t="n">
        <f aca="false">Analyzer!BC42</f>
        <v>0</v>
      </c>
      <c r="D30" s="0" t="n">
        <f aca="false">ROUND((C30*100/MAX($C$2:$C$41)),0)</f>
        <v>0</v>
      </c>
    </row>
    <row r="31" customFormat="false" ht="12.75" hidden="false" customHeight="false" outlineLevel="0" collapsed="false">
      <c r="A31" s="0" t="str">
        <f aca="false">Analyzer!BB43</f>
        <v>Flexible Hüllen und Folien</v>
      </c>
      <c r="B31" s="0" t="n">
        <f aca="false">Analyzer!BA43</f>
        <v>30</v>
      </c>
      <c r="C31" s="0" t="n">
        <f aca="false">Analyzer!BC43</f>
        <v>0</v>
      </c>
      <c r="D31" s="0" t="n">
        <f aca="false">ROUND((C31*100/MAX($C$2:$C$41)),0)</f>
        <v>0</v>
      </c>
    </row>
    <row r="32" customFormat="false" ht="12.75" hidden="false" customHeight="false" outlineLevel="0" collapsed="false">
      <c r="A32" s="0" t="str">
        <f aca="false">Analyzer!BB44</f>
        <v>Poröse Materialien</v>
      </c>
      <c r="B32" s="0" t="n">
        <f aca="false">Analyzer!BA44</f>
        <v>31</v>
      </c>
      <c r="C32" s="0" t="n">
        <f aca="false">Analyzer!BC44</f>
        <v>1</v>
      </c>
      <c r="D32" s="0" t="n">
        <f aca="false">ROUND((C32*100/MAX($C$2:$C$41)),0)</f>
        <v>10</v>
      </c>
    </row>
    <row r="33" customFormat="false" ht="12.75" hidden="false" customHeight="false" outlineLevel="0" collapsed="false">
      <c r="A33" s="0" t="str">
        <f aca="false">Analyzer!BB45</f>
        <v>Verändern von Farbe und Durchsichtigk.</v>
      </c>
      <c r="B33" s="0" t="n">
        <f aca="false">Analyzer!BA45</f>
        <v>32</v>
      </c>
      <c r="C33" s="0" t="n">
        <f aca="false">Analyzer!BC45</f>
        <v>1</v>
      </c>
      <c r="D33" s="0" t="n">
        <f aca="false">ROUND((C33*100/MAX($C$2:$C$41)),0)</f>
        <v>10</v>
      </c>
    </row>
    <row r="34" customFormat="false" ht="12.75" hidden="false" customHeight="false" outlineLevel="0" collapsed="false">
      <c r="A34" s="0" t="str">
        <f aca="false">Analyzer!BB46</f>
        <v>Gleichartigkeit bzw. Homogenität</v>
      </c>
      <c r="B34" s="0" t="n">
        <f aca="false">Analyzer!BA46</f>
        <v>33</v>
      </c>
      <c r="C34" s="0" t="n">
        <f aca="false">Analyzer!BC46</f>
        <v>0</v>
      </c>
      <c r="D34" s="0" t="n">
        <f aca="false">ROUND((C34*100/MAX($C$2:$C$41)),0)</f>
        <v>0</v>
      </c>
    </row>
    <row r="35" customFormat="false" ht="12.75" hidden="false" customHeight="false" outlineLevel="0" collapsed="false">
      <c r="A35" s="0" t="str">
        <f aca="false">Analyzer!BB47</f>
        <v>Beseitigung und Regeneration</v>
      </c>
      <c r="B35" s="0" t="n">
        <f aca="false">Analyzer!BA47</f>
        <v>34</v>
      </c>
      <c r="C35" s="0" t="n">
        <f aca="false">Analyzer!BC47</f>
        <v>0</v>
      </c>
      <c r="D35" s="0" t="n">
        <f aca="false">ROUND((C35*100/MAX($C$2:$C$41)),0)</f>
        <v>0</v>
      </c>
    </row>
    <row r="36" customFormat="false" ht="12.75" hidden="false" customHeight="false" outlineLevel="0" collapsed="false">
      <c r="A36" s="0" t="str">
        <f aca="false">Analyzer!BB48</f>
        <v>Veränderung des Aggregatszustandes</v>
      </c>
      <c r="B36" s="0" t="n">
        <f aca="false">Analyzer!BA48</f>
        <v>35</v>
      </c>
      <c r="C36" s="0" t="n">
        <f aca="false">Analyzer!BC48</f>
        <v>10</v>
      </c>
      <c r="D36" s="0" t="n">
        <f aca="false">ROUND((C36*100/MAX($C$2:$C$41)),0)</f>
        <v>100</v>
      </c>
    </row>
    <row r="37" customFormat="false" ht="12.75" hidden="false" customHeight="false" outlineLevel="0" collapsed="false">
      <c r="A37" s="0" t="str">
        <f aca="false">Analyzer!BB49</f>
        <v>Anwenden von Phasenübergängen</v>
      </c>
      <c r="B37" s="0" t="n">
        <f aca="false">Analyzer!BA49</f>
        <v>36</v>
      </c>
      <c r="C37" s="0" t="n">
        <f aca="false">Analyzer!BC49</f>
        <v>0</v>
      </c>
      <c r="D37" s="0" t="n">
        <f aca="false">ROUND((C37*100/MAX($C$2:$C$41)),0)</f>
        <v>0</v>
      </c>
    </row>
    <row r="38" customFormat="false" ht="12.75" hidden="false" customHeight="false" outlineLevel="0" collapsed="false">
      <c r="A38" s="0" t="str">
        <f aca="false">Analyzer!BB50</f>
        <v>Wärmeausdehnung</v>
      </c>
      <c r="B38" s="0" t="n">
        <f aca="false">Analyzer!BA50</f>
        <v>37</v>
      </c>
      <c r="C38" s="0" t="n">
        <f aca="false">Analyzer!BC50</f>
        <v>0</v>
      </c>
      <c r="D38" s="0" t="n">
        <f aca="false">ROUND((C38*100/MAX($C$2:$C$41)),0)</f>
        <v>0</v>
      </c>
    </row>
    <row r="39" customFormat="false" ht="12.75" hidden="false" customHeight="false" outlineLevel="0" collapsed="false">
      <c r="A39" s="0" t="str">
        <f aca="false">Analyzer!BB51</f>
        <v>Starkes Oxidationsmittel</v>
      </c>
      <c r="B39" s="0" t="n">
        <f aca="false">Analyzer!BA51</f>
        <v>38</v>
      </c>
      <c r="C39" s="0" t="n">
        <f aca="false">Analyzer!BC51</f>
        <v>0</v>
      </c>
      <c r="D39" s="0" t="n">
        <f aca="false">ROUND((C39*100/MAX($C$2:$C$41)),0)</f>
        <v>0</v>
      </c>
    </row>
    <row r="40" customFormat="false" ht="12.75" hidden="false" customHeight="false" outlineLevel="0" collapsed="false">
      <c r="A40" s="0" t="str">
        <f aca="false">Analyzer!BB52</f>
        <v>Träges Medium / inerte Atmosphäre</v>
      </c>
      <c r="B40" s="0" t="n">
        <f aca="false">Analyzer!BA52</f>
        <v>39</v>
      </c>
      <c r="C40" s="0" t="n">
        <f aca="false">Analyzer!BC52</f>
        <v>0</v>
      </c>
      <c r="D40" s="0" t="n">
        <f aca="false">ROUND((C40*100/MAX($C$2:$C$41)),0)</f>
        <v>0</v>
      </c>
    </row>
    <row r="41" customFormat="false" ht="12.75" hidden="false" customHeight="false" outlineLevel="0" collapsed="false">
      <c r="A41" s="0" t="str">
        <f aca="false">Analyzer!BB53</f>
        <v>Verbundmaterial</v>
      </c>
      <c r="B41" s="0" t="n">
        <f aca="false">Analyzer!BA53</f>
        <v>40</v>
      </c>
      <c r="C41" s="0" t="n">
        <f aca="false">Analyzer!BC53</f>
        <v>1</v>
      </c>
      <c r="D41" s="0" t="n">
        <f aca="false">ROUND((C41*100/MAX($C$2:$C$41)),0)</f>
        <v>10</v>
      </c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J3" activeCellId="0" sqref="J3"/>
    </sheetView>
  </sheetViews>
  <sheetFormatPr defaultColWidth="10.42578125" defaultRowHeight="51" zeroHeight="false" outlineLevelRow="0" outlineLevelCol="0"/>
  <cols>
    <col collapsed="false" customWidth="false" hidden="false" outlineLevel="0" max="16384" min="1" style="392" width="10.42"/>
  </cols>
  <sheetData>
    <row r="1" customFormat="false" ht="51" hidden="false" customHeight="true" outlineLevel="0" collapsed="false">
      <c r="A1" s="393"/>
      <c r="B1" s="394"/>
      <c r="C1" s="395"/>
      <c r="D1" s="396"/>
    </row>
    <row r="2" customFormat="false" ht="51" hidden="false" customHeight="true" outlineLevel="0" collapsed="false">
      <c r="A2" s="394"/>
      <c r="B2" s="394"/>
      <c r="C2" s="395"/>
      <c r="D2" s="396"/>
    </row>
    <row r="3" customFormat="false" ht="51" hidden="false" customHeight="true" outlineLevel="0" collapsed="false">
      <c r="A3" s="395"/>
      <c r="B3" s="395"/>
      <c r="C3" s="395"/>
      <c r="D3" s="396"/>
    </row>
    <row r="4" customFormat="false" ht="51" hidden="false" customHeight="true" outlineLevel="0" collapsed="false">
      <c r="A4" s="396"/>
      <c r="B4" s="396"/>
      <c r="C4" s="396"/>
      <c r="D4" s="396"/>
    </row>
    <row r="7" customFormat="false" ht="51" hidden="false" customHeight="true" outlineLevel="0" collapsed="false">
      <c r="A7" s="396"/>
      <c r="B7" s="396"/>
      <c r="C7" s="396"/>
      <c r="D7" s="396"/>
      <c r="L7" s="397" t="s">
        <v>4892</v>
      </c>
      <c r="M7" s="396" t="s">
        <v>4893</v>
      </c>
      <c r="N7" s="396" t="s">
        <v>4894</v>
      </c>
      <c r="O7" s="396" t="s">
        <v>4895</v>
      </c>
      <c r="P7" s="396" t="s">
        <v>4896</v>
      </c>
      <c r="Q7" s="396" t="s">
        <v>4897</v>
      </c>
      <c r="R7" s="397" t="s">
        <v>4898</v>
      </c>
    </row>
    <row r="8" customFormat="false" ht="51" hidden="false" customHeight="true" outlineLevel="0" collapsed="false">
      <c r="A8" s="395"/>
      <c r="B8" s="395"/>
      <c r="C8" s="395"/>
      <c r="D8" s="396"/>
      <c r="L8" s="396" t="s">
        <v>4899</v>
      </c>
      <c r="M8" s="398" t="s">
        <v>4900</v>
      </c>
      <c r="N8" s="395"/>
      <c r="O8" s="395"/>
      <c r="P8" s="395"/>
      <c r="Q8" s="398" t="s">
        <v>4901</v>
      </c>
      <c r="R8" s="396"/>
    </row>
    <row r="9" customFormat="false" ht="51" hidden="false" customHeight="true" outlineLevel="0" collapsed="false">
      <c r="A9" s="394"/>
      <c r="B9" s="394"/>
      <c r="C9" s="395"/>
      <c r="D9" s="396"/>
      <c r="L9" s="396" t="s">
        <v>4902</v>
      </c>
      <c r="M9" s="395"/>
      <c r="N9" s="399" t="s">
        <v>4903</v>
      </c>
      <c r="O9" s="394"/>
      <c r="P9" s="399" t="s">
        <v>4904</v>
      </c>
      <c r="Q9" s="395"/>
      <c r="R9" s="396"/>
    </row>
    <row r="10" customFormat="false" ht="51" hidden="false" customHeight="true" outlineLevel="0" collapsed="false">
      <c r="A10" s="393"/>
      <c r="B10" s="394"/>
      <c r="C10" s="395"/>
      <c r="D10" s="396"/>
      <c r="L10" s="396" t="s">
        <v>4905</v>
      </c>
      <c r="M10" s="395"/>
      <c r="N10" s="394"/>
      <c r="O10" s="393" t="s">
        <v>4906</v>
      </c>
      <c r="P10" s="394"/>
      <c r="Q10" s="395"/>
      <c r="R10" s="396"/>
    </row>
    <row r="11" customFormat="false" ht="51" hidden="false" customHeight="true" outlineLevel="0" collapsed="false">
      <c r="A11" s="394"/>
      <c r="B11" s="394"/>
      <c r="C11" s="395"/>
      <c r="D11" s="396"/>
      <c r="L11" s="396" t="s">
        <v>4907</v>
      </c>
      <c r="M11" s="395"/>
      <c r="N11" s="399" t="s">
        <v>4908</v>
      </c>
      <c r="O11" s="394"/>
      <c r="P11" s="399" t="s">
        <v>4909</v>
      </c>
      <c r="Q11" s="395"/>
      <c r="R11" s="396"/>
    </row>
    <row r="12" customFormat="false" ht="51" hidden="false" customHeight="true" outlineLevel="0" collapsed="false">
      <c r="A12" s="395"/>
      <c r="B12" s="395"/>
      <c r="C12" s="395"/>
      <c r="D12" s="396"/>
      <c r="L12" s="396" t="s">
        <v>4910</v>
      </c>
      <c r="M12" s="398" t="s">
        <v>4911</v>
      </c>
      <c r="N12" s="395"/>
      <c r="O12" s="395"/>
      <c r="P12" s="395"/>
      <c r="Q12" s="398" t="s">
        <v>4912</v>
      </c>
      <c r="R12" s="396"/>
    </row>
    <row r="13" customFormat="false" ht="51" hidden="false" customHeight="true" outlineLevel="0" collapsed="false">
      <c r="A13" s="396"/>
      <c r="B13" s="396"/>
      <c r="C13" s="396"/>
      <c r="D13" s="396"/>
      <c r="L13" s="397" t="s">
        <v>4913</v>
      </c>
      <c r="M13" s="396" t="s">
        <v>4914</v>
      </c>
      <c r="N13" s="396" t="s">
        <v>4915</v>
      </c>
      <c r="O13" s="396" t="s">
        <v>4916</v>
      </c>
      <c r="P13" s="396" t="s">
        <v>4917</v>
      </c>
      <c r="Q13" s="396" t="s">
        <v>4918</v>
      </c>
      <c r="R13" s="397" t="s">
        <v>4919</v>
      </c>
    </row>
    <row r="15" customFormat="false" ht="51" hidden="false" customHeight="true" outlineLevel="0" collapsed="false">
      <c r="A15" s="396"/>
      <c r="B15" s="396"/>
      <c r="C15" s="396"/>
      <c r="D15" s="396"/>
      <c r="E15" s="396"/>
    </row>
    <row r="16" customFormat="false" ht="51" hidden="false" customHeight="true" outlineLevel="0" collapsed="false">
      <c r="A16" s="395"/>
      <c r="B16" s="395"/>
      <c r="C16" s="395"/>
      <c r="D16" s="395"/>
      <c r="E16" s="396"/>
    </row>
    <row r="17" customFormat="false" ht="51" hidden="false" customHeight="true" outlineLevel="0" collapsed="false">
      <c r="A17" s="394"/>
      <c r="B17" s="394"/>
      <c r="C17" s="394"/>
      <c r="D17" s="395"/>
      <c r="E17" s="396"/>
    </row>
    <row r="18" customFormat="false" ht="51" hidden="false" customHeight="true" outlineLevel="0" collapsed="false">
      <c r="A18" s="394"/>
      <c r="B18" s="393"/>
      <c r="C18" s="394"/>
      <c r="D18" s="395"/>
      <c r="E18" s="396"/>
    </row>
    <row r="19" customFormat="false" ht="51" hidden="false" customHeight="true" outlineLevel="0" collapsed="false">
      <c r="A19" s="394"/>
      <c r="B19" s="394"/>
      <c r="C19" s="394"/>
      <c r="D19" s="395"/>
      <c r="E19" s="396"/>
    </row>
    <row r="20" customFormat="false" ht="51" hidden="false" customHeight="true" outlineLevel="0" collapsed="false">
      <c r="A20" s="395"/>
      <c r="B20" s="395"/>
      <c r="C20" s="395"/>
      <c r="D20" s="395"/>
      <c r="E20" s="396"/>
    </row>
    <row r="21" customFormat="false" ht="51" hidden="false" customHeight="true" outlineLevel="0" collapsed="false">
      <c r="A21" s="396"/>
      <c r="B21" s="396"/>
      <c r="C21" s="396"/>
      <c r="D21" s="396"/>
      <c r="E21" s="396"/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20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J3" activeCellId="0" sqref="J3"/>
    </sheetView>
  </sheetViews>
  <sheetFormatPr defaultColWidth="3.1484375" defaultRowHeight="12.75" zeroHeight="false" outlineLevelRow="0" outlineLevelCol="0"/>
  <sheetData>
    <row r="1" customFormat="false" ht="12.75" hidden="false" customHeight="false" outlineLevel="0" collapsed="false">
      <c r="A1" s="400"/>
      <c r="B1" s="179"/>
      <c r="C1" s="401"/>
      <c r="D1" s="402"/>
      <c r="E1" s="403"/>
    </row>
    <row r="2" customFormat="false" ht="12.75" hidden="false" customHeight="false" outlineLevel="0" collapsed="false">
      <c r="A2" s="179"/>
      <c r="B2" s="179"/>
      <c r="C2" s="401"/>
      <c r="D2" s="402"/>
      <c r="E2" s="403"/>
    </row>
    <row r="3" customFormat="false" ht="12.75" hidden="false" customHeight="false" outlineLevel="0" collapsed="false">
      <c r="A3" s="401"/>
      <c r="B3" s="401"/>
      <c r="C3" s="401"/>
      <c r="D3" s="402"/>
      <c r="E3" s="403"/>
      <c r="J3" s="0" t="n">
        <v>10</v>
      </c>
      <c r="P3" s="403"/>
      <c r="Q3" s="402"/>
      <c r="R3" s="401"/>
      <c r="S3" s="401"/>
    </row>
    <row r="4" customFormat="false" ht="12.75" hidden="false" customHeight="false" outlineLevel="0" collapsed="false">
      <c r="A4" s="402"/>
      <c r="B4" s="402"/>
      <c r="C4" s="402"/>
      <c r="D4" s="402"/>
      <c r="E4" s="403"/>
      <c r="F4" s="403"/>
      <c r="G4" s="403"/>
      <c r="H4" s="403"/>
      <c r="I4" s="403"/>
      <c r="J4" s="403" t="n">
        <v>20</v>
      </c>
      <c r="K4" s="403"/>
      <c r="L4" s="403"/>
      <c r="M4" s="403"/>
      <c r="N4" s="403"/>
      <c r="P4" s="403"/>
      <c r="Q4" s="402"/>
      <c r="R4" s="402"/>
      <c r="S4" s="402"/>
      <c r="T4" s="402"/>
      <c r="U4" s="402"/>
      <c r="V4" s="402"/>
      <c r="W4" s="402"/>
    </row>
    <row r="5" customFormat="false" ht="12.75" hidden="false" customHeight="false" outlineLevel="0" collapsed="false">
      <c r="A5" s="403"/>
      <c r="B5" s="403"/>
      <c r="C5" s="403"/>
      <c r="D5" s="403"/>
      <c r="E5" s="403"/>
      <c r="F5" s="403"/>
      <c r="G5" s="402"/>
      <c r="H5" s="402"/>
      <c r="I5" s="402"/>
      <c r="J5" s="402" t="n">
        <v>30</v>
      </c>
      <c r="K5" s="402"/>
      <c r="L5" s="402"/>
      <c r="M5" s="402"/>
      <c r="N5" s="403"/>
      <c r="P5" s="403"/>
      <c r="Q5" s="403"/>
      <c r="R5" s="403"/>
      <c r="S5" s="403"/>
      <c r="T5" s="403"/>
      <c r="U5" s="403"/>
      <c r="V5" s="403"/>
      <c r="W5" s="403"/>
    </row>
    <row r="6" customFormat="false" ht="12.75" hidden="false" customHeight="false" outlineLevel="0" collapsed="false">
      <c r="F6" s="403"/>
      <c r="G6" s="402"/>
      <c r="H6" s="401" t="n">
        <v>40</v>
      </c>
      <c r="I6" s="401" t="n">
        <v>40</v>
      </c>
      <c r="J6" s="401" t="n">
        <v>40</v>
      </c>
      <c r="K6" s="401" t="n">
        <v>40</v>
      </c>
      <c r="L6" s="401" t="n">
        <v>40</v>
      </c>
      <c r="M6" s="402"/>
      <c r="N6" s="403"/>
    </row>
    <row r="7" customFormat="false" ht="12.75" hidden="false" customHeight="false" outlineLevel="0" collapsed="false">
      <c r="F7" s="403"/>
      <c r="G7" s="402"/>
      <c r="H7" s="401" t="n">
        <v>40</v>
      </c>
      <c r="I7" s="179" t="n">
        <v>50</v>
      </c>
      <c r="J7" s="179" t="n">
        <v>50</v>
      </c>
      <c r="K7" s="179" t="n">
        <v>50</v>
      </c>
      <c r="L7" s="401" t="n">
        <v>40</v>
      </c>
      <c r="M7" s="402"/>
      <c r="N7" s="403"/>
    </row>
    <row r="8" customFormat="false" ht="12.75" hidden="false" customHeight="false" outlineLevel="0" collapsed="false">
      <c r="F8" s="403"/>
      <c r="G8" s="402"/>
      <c r="H8" s="401" t="n">
        <v>40</v>
      </c>
      <c r="I8" s="179" t="n">
        <v>50</v>
      </c>
      <c r="J8" s="400" t="n">
        <v>60</v>
      </c>
      <c r="K8" s="179" t="n">
        <v>50</v>
      </c>
      <c r="L8" s="401" t="n">
        <v>40</v>
      </c>
      <c r="M8" s="402"/>
      <c r="N8" s="403"/>
    </row>
    <row r="9" customFormat="false" ht="12.75" hidden="false" customHeight="false" outlineLevel="0" collapsed="false">
      <c r="F9" s="403"/>
      <c r="G9" s="402"/>
      <c r="H9" s="401" t="n">
        <v>40</v>
      </c>
      <c r="I9" s="179" t="n">
        <v>50</v>
      </c>
      <c r="J9" s="179" t="n">
        <v>50</v>
      </c>
      <c r="K9" s="179" t="n">
        <v>50</v>
      </c>
      <c r="L9" s="401" t="n">
        <v>40</v>
      </c>
      <c r="M9" s="402"/>
      <c r="N9" s="403"/>
    </row>
    <row r="10" customFormat="false" ht="12.75" hidden="false" customHeight="false" outlineLevel="0" collapsed="false">
      <c r="F10" s="403"/>
      <c r="G10" s="402"/>
      <c r="H10" s="401" t="n">
        <v>40</v>
      </c>
      <c r="I10" s="401" t="n">
        <v>40</v>
      </c>
      <c r="J10" s="401" t="n">
        <v>40</v>
      </c>
      <c r="K10" s="401" t="n">
        <v>40</v>
      </c>
      <c r="L10" s="401" t="n">
        <v>40</v>
      </c>
      <c r="M10" s="402"/>
      <c r="N10" s="403"/>
    </row>
    <row r="11" customFormat="false" ht="12.75" hidden="false" customHeight="false" outlineLevel="0" collapsed="false">
      <c r="F11" s="403"/>
      <c r="G11" s="402"/>
      <c r="H11" s="402"/>
      <c r="I11" s="402"/>
    </row>
    <row r="12" customFormat="false" ht="12.75" hidden="false" customHeight="false" outlineLevel="0" collapsed="false">
      <c r="F12" s="403"/>
      <c r="G12" s="403"/>
      <c r="H12" s="403"/>
      <c r="I12" s="403"/>
    </row>
    <row r="15" customFormat="false" ht="12.75" hidden="false" customHeight="false" outlineLevel="0" collapsed="false">
      <c r="H15" s="0" t="s">
        <v>4920</v>
      </c>
      <c r="K15" s="404" t="n">
        <v>60</v>
      </c>
      <c r="L15" s="404"/>
      <c r="M15" s="404"/>
    </row>
    <row r="16" customFormat="false" ht="12.75" hidden="false" customHeight="false" outlineLevel="0" collapsed="false">
      <c r="H16" s="0" t="s">
        <v>4921</v>
      </c>
      <c r="K16" s="404" t="n">
        <f aca="false">8*50</f>
        <v>400</v>
      </c>
      <c r="L16" s="404"/>
      <c r="M16" s="404"/>
      <c r="N16" s="405"/>
      <c r="O16" s="405"/>
      <c r="P16" s="405"/>
      <c r="Q16" s="405"/>
      <c r="R16" s="405"/>
      <c r="S16" s="405"/>
    </row>
    <row r="17" customFormat="false" ht="12.75" hidden="false" customHeight="false" outlineLevel="0" collapsed="false">
      <c r="H17" s="0" t="s">
        <v>4922</v>
      </c>
      <c r="K17" s="404" t="n">
        <f aca="false">16*40</f>
        <v>640</v>
      </c>
      <c r="L17" s="404"/>
      <c r="M17" s="404"/>
      <c r="N17" s="405"/>
      <c r="O17" s="405"/>
      <c r="P17" s="405"/>
      <c r="Q17" s="405"/>
      <c r="R17" s="405"/>
      <c r="S17" s="405"/>
    </row>
    <row r="18" customFormat="false" ht="12.75" hidden="false" customHeight="false" outlineLevel="0" collapsed="false">
      <c r="H18" s="0" t="s">
        <v>4923</v>
      </c>
      <c r="K18" s="404" t="n">
        <f aca="false">24*30</f>
        <v>720</v>
      </c>
      <c r="L18" s="404"/>
      <c r="M18" s="404"/>
      <c r="N18" s="405"/>
      <c r="O18" s="405"/>
      <c r="P18" s="405"/>
      <c r="Q18" s="405"/>
      <c r="R18" s="405"/>
      <c r="S18" s="405"/>
    </row>
    <row r="19" customFormat="false" ht="12.75" hidden="false" customHeight="false" outlineLevel="0" collapsed="false">
      <c r="H19" s="0" t="s">
        <v>4924</v>
      </c>
      <c r="K19" s="404" t="n">
        <f aca="false">32*20</f>
        <v>640</v>
      </c>
      <c r="L19" s="404"/>
      <c r="M19" s="404"/>
      <c r="N19" s="405"/>
      <c r="O19" s="405"/>
      <c r="P19" s="405"/>
      <c r="Q19" s="405"/>
      <c r="R19" s="405"/>
      <c r="S19" s="405"/>
    </row>
    <row r="20" customFormat="false" ht="12.75" hidden="false" customHeight="false" outlineLevel="0" collapsed="false">
      <c r="H20" s="0" t="s">
        <v>4925</v>
      </c>
      <c r="K20" s="404" t="n">
        <f aca="false">40*10</f>
        <v>400</v>
      </c>
      <c r="L20" s="404"/>
      <c r="M20" s="404"/>
      <c r="N20" s="405"/>
      <c r="O20" s="405"/>
      <c r="P20" s="405"/>
    </row>
  </sheetData>
  <mergeCells count="16">
    <mergeCell ref="K15:M15"/>
    <mergeCell ref="Q15:S15"/>
    <mergeCell ref="K16:M16"/>
    <mergeCell ref="N16:P16"/>
    <mergeCell ref="Q16:S16"/>
    <mergeCell ref="K17:M17"/>
    <mergeCell ref="N17:P17"/>
    <mergeCell ref="Q17:S17"/>
    <mergeCell ref="K18:M18"/>
    <mergeCell ref="N18:P18"/>
    <mergeCell ref="Q18:S18"/>
    <mergeCell ref="K19:M19"/>
    <mergeCell ref="N19:P19"/>
    <mergeCell ref="Q19:S19"/>
    <mergeCell ref="K20:M20"/>
    <mergeCell ref="N20:P20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V4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12" activeCellId="0" sqref="G12"/>
    </sheetView>
  </sheetViews>
  <sheetFormatPr defaultColWidth="2.5703125" defaultRowHeight="11.25" zeroHeight="false" outlineLevelRow="0" outlineLevelCol="0"/>
  <cols>
    <col collapsed="false" customWidth="false" hidden="false" outlineLevel="0" max="16384" min="1" style="406" width="2.57"/>
  </cols>
  <sheetData>
    <row r="1" customFormat="false" ht="11.25" hidden="false" customHeight="true" outlineLevel="0" collapsed="false">
      <c r="A1" s="406" t="n">
        <v>1</v>
      </c>
      <c r="B1" s="406" t="n">
        <v>2</v>
      </c>
      <c r="C1" s="406" t="n">
        <v>3</v>
      </c>
      <c r="D1" s="406" t="n">
        <v>4</v>
      </c>
      <c r="E1" s="406" t="n">
        <v>5</v>
      </c>
      <c r="F1" s="406" t="n">
        <v>6</v>
      </c>
      <c r="G1" s="406" t="n">
        <v>7</v>
      </c>
      <c r="H1" s="406" t="n">
        <v>8</v>
      </c>
      <c r="I1" s="406" t="n">
        <v>9</v>
      </c>
      <c r="J1" s="406" t="n">
        <v>10</v>
      </c>
      <c r="K1" s="406" t="n">
        <v>11</v>
      </c>
      <c r="L1" s="406" t="n">
        <v>12</v>
      </c>
      <c r="M1" s="406" t="n">
        <v>13</v>
      </c>
      <c r="N1" s="406" t="n">
        <v>14</v>
      </c>
      <c r="O1" s="406" t="n">
        <v>15</v>
      </c>
      <c r="P1" s="406" t="n">
        <v>16</v>
      </c>
      <c r="Q1" s="406" t="n">
        <v>17</v>
      </c>
      <c r="R1" s="406" t="n">
        <v>18</v>
      </c>
      <c r="S1" s="406" t="n">
        <v>19</v>
      </c>
      <c r="T1" s="406" t="n">
        <v>20</v>
      </c>
      <c r="U1" s="406" t="n">
        <v>21</v>
      </c>
      <c r="V1" s="406" t="n">
        <v>22</v>
      </c>
      <c r="W1" s="406" t="n">
        <v>23</v>
      </c>
      <c r="X1" s="406" t="n">
        <v>24</v>
      </c>
      <c r="Y1" s="406" t="n">
        <v>25</v>
      </c>
      <c r="Z1" s="406" t="n">
        <v>26</v>
      </c>
      <c r="AA1" s="406" t="n">
        <v>27</v>
      </c>
      <c r="AB1" s="406" t="n">
        <v>28</v>
      </c>
      <c r="AC1" s="406" t="n">
        <v>29</v>
      </c>
      <c r="AD1" s="406" t="n">
        <v>30</v>
      </c>
      <c r="AE1" s="406" t="n">
        <v>31</v>
      </c>
      <c r="AF1" s="406" t="n">
        <v>32</v>
      </c>
      <c r="AG1" s="406" t="n">
        <v>33</v>
      </c>
      <c r="AH1" s="406" t="n">
        <v>34</v>
      </c>
      <c r="AI1" s="406" t="n">
        <v>35</v>
      </c>
      <c r="AJ1" s="406" t="n">
        <v>36</v>
      </c>
      <c r="AK1" s="406" t="n">
        <v>37</v>
      </c>
      <c r="AL1" s="406" t="n">
        <v>38</v>
      </c>
      <c r="AM1" s="406" t="n">
        <v>39</v>
      </c>
      <c r="AN1" s="406" t="n">
        <v>40</v>
      </c>
      <c r="AO1" s="406" t="n">
        <v>41</v>
      </c>
      <c r="AP1" s="406" t="n">
        <v>42</v>
      </c>
      <c r="AQ1" s="406" t="n">
        <v>43</v>
      </c>
      <c r="AR1" s="406" t="n">
        <v>44</v>
      </c>
      <c r="AS1" s="406" t="n">
        <v>45</v>
      </c>
      <c r="AT1" s="406" t="n">
        <v>46</v>
      </c>
      <c r="AU1" s="406" t="n">
        <v>47</v>
      </c>
      <c r="AV1" s="406" t="n">
        <v>48</v>
      </c>
    </row>
    <row r="2" customFormat="false" ht="11.25" hidden="false" customHeight="true" outlineLevel="0" collapsed="false">
      <c r="A2" s="406" t="n">
        <v>2</v>
      </c>
    </row>
    <row r="3" customFormat="false" ht="11.25" hidden="false" customHeight="true" outlineLevel="0" collapsed="false">
      <c r="A3" s="406" t="n">
        <v>3</v>
      </c>
    </row>
    <row r="4" customFormat="false" ht="11.25" hidden="false" customHeight="true" outlineLevel="0" collapsed="false">
      <c r="A4" s="406" t="n">
        <v>4</v>
      </c>
    </row>
    <row r="5" customFormat="false" ht="11.25" hidden="false" customHeight="true" outlineLevel="0" collapsed="false">
      <c r="A5" s="406" t="n">
        <v>5</v>
      </c>
    </row>
    <row r="6" customFormat="false" ht="11.25" hidden="false" customHeight="true" outlineLevel="0" collapsed="false">
      <c r="A6" s="406" t="n">
        <v>6</v>
      </c>
    </row>
    <row r="7" customFormat="false" ht="11.25" hidden="false" customHeight="true" outlineLevel="0" collapsed="false">
      <c r="A7" s="406" t="n">
        <v>7</v>
      </c>
    </row>
    <row r="8" customFormat="false" ht="11.25" hidden="false" customHeight="true" outlineLevel="0" collapsed="false">
      <c r="A8" s="406" t="n">
        <v>8</v>
      </c>
    </row>
    <row r="9" customFormat="false" ht="11.25" hidden="false" customHeight="true" outlineLevel="0" collapsed="false">
      <c r="A9" s="406" t="n">
        <v>9</v>
      </c>
    </row>
    <row r="10" customFormat="false" ht="11.25" hidden="false" customHeight="true" outlineLevel="0" collapsed="false">
      <c r="A10" s="406" t="n">
        <v>10</v>
      </c>
    </row>
    <row r="11" customFormat="false" ht="11.25" hidden="false" customHeight="true" outlineLevel="0" collapsed="false">
      <c r="A11" s="406" t="n">
        <v>11</v>
      </c>
    </row>
    <row r="12" customFormat="false" ht="11.25" hidden="false" customHeight="true" outlineLevel="0" collapsed="false">
      <c r="A12" s="406" t="n">
        <v>12</v>
      </c>
    </row>
    <row r="13" customFormat="false" ht="11.25" hidden="false" customHeight="true" outlineLevel="0" collapsed="false">
      <c r="A13" s="406" t="n">
        <v>13</v>
      </c>
    </row>
    <row r="14" customFormat="false" ht="11.25" hidden="false" customHeight="true" outlineLevel="0" collapsed="false">
      <c r="A14" s="406" t="n">
        <v>14</v>
      </c>
    </row>
    <row r="15" customFormat="false" ht="11.25" hidden="false" customHeight="true" outlineLevel="0" collapsed="false">
      <c r="A15" s="406" t="n">
        <v>15</v>
      </c>
    </row>
    <row r="16" customFormat="false" ht="11.25" hidden="false" customHeight="true" outlineLevel="0" collapsed="false">
      <c r="A16" s="406" t="n">
        <v>16</v>
      </c>
    </row>
    <row r="17" customFormat="false" ht="11.25" hidden="false" customHeight="true" outlineLevel="0" collapsed="false">
      <c r="A17" s="406" t="n">
        <v>17</v>
      </c>
    </row>
    <row r="18" customFormat="false" ht="11.25" hidden="false" customHeight="true" outlineLevel="0" collapsed="false">
      <c r="A18" s="406" t="n">
        <v>18</v>
      </c>
    </row>
    <row r="19" customFormat="false" ht="11.25" hidden="false" customHeight="true" outlineLevel="0" collapsed="false">
      <c r="A19" s="406" t="n">
        <v>19</v>
      </c>
    </row>
    <row r="20" customFormat="false" ht="11.25" hidden="false" customHeight="true" outlineLevel="0" collapsed="false">
      <c r="A20" s="406" t="n">
        <v>20</v>
      </c>
    </row>
    <row r="21" customFormat="false" ht="11.25" hidden="false" customHeight="true" outlineLevel="0" collapsed="false">
      <c r="A21" s="406" t="n">
        <v>21</v>
      </c>
    </row>
    <row r="22" customFormat="false" ht="11.25" hidden="false" customHeight="true" outlineLevel="0" collapsed="false">
      <c r="A22" s="406" t="n">
        <v>22</v>
      </c>
    </row>
    <row r="23" customFormat="false" ht="11.25" hidden="false" customHeight="true" outlineLevel="0" collapsed="false">
      <c r="A23" s="406" t="n">
        <v>23</v>
      </c>
    </row>
    <row r="24" customFormat="false" ht="11.25" hidden="false" customHeight="true" outlineLevel="0" collapsed="false">
      <c r="A24" s="406" t="n">
        <v>24</v>
      </c>
    </row>
    <row r="25" customFormat="false" ht="11.25" hidden="false" customHeight="true" outlineLevel="0" collapsed="false">
      <c r="A25" s="406" t="n">
        <v>25</v>
      </c>
    </row>
    <row r="26" customFormat="false" ht="11.25" hidden="false" customHeight="true" outlineLevel="0" collapsed="false">
      <c r="A26" s="406" t="n">
        <v>26</v>
      </c>
    </row>
    <row r="27" customFormat="false" ht="11.25" hidden="false" customHeight="true" outlineLevel="0" collapsed="false">
      <c r="A27" s="406" t="n">
        <v>27</v>
      </c>
    </row>
    <row r="28" customFormat="false" ht="11.25" hidden="false" customHeight="true" outlineLevel="0" collapsed="false">
      <c r="A28" s="406" t="n">
        <v>28</v>
      </c>
    </row>
    <row r="29" customFormat="false" ht="11.25" hidden="false" customHeight="true" outlineLevel="0" collapsed="false">
      <c r="A29" s="406" t="n">
        <v>29</v>
      </c>
    </row>
    <row r="30" customFormat="false" ht="11.25" hidden="false" customHeight="true" outlineLevel="0" collapsed="false">
      <c r="A30" s="406" t="n">
        <v>30</v>
      </c>
    </row>
    <row r="31" customFormat="false" ht="11.25" hidden="false" customHeight="true" outlineLevel="0" collapsed="false">
      <c r="A31" s="406" t="n">
        <v>31</v>
      </c>
    </row>
    <row r="32" customFormat="false" ht="11.25" hidden="false" customHeight="true" outlineLevel="0" collapsed="false">
      <c r="A32" s="406" t="n">
        <v>32</v>
      </c>
    </row>
    <row r="33" customFormat="false" ht="11.25" hidden="false" customHeight="true" outlineLevel="0" collapsed="false">
      <c r="A33" s="406" t="n">
        <v>33</v>
      </c>
    </row>
    <row r="34" customFormat="false" ht="11.25" hidden="false" customHeight="true" outlineLevel="0" collapsed="false">
      <c r="A34" s="406" t="n">
        <v>34</v>
      </c>
    </row>
    <row r="35" customFormat="false" ht="11.25" hidden="false" customHeight="true" outlineLevel="0" collapsed="false">
      <c r="A35" s="406" t="n">
        <v>35</v>
      </c>
    </row>
    <row r="36" customFormat="false" ht="11.25" hidden="false" customHeight="true" outlineLevel="0" collapsed="false">
      <c r="A36" s="406" t="n">
        <v>36</v>
      </c>
    </row>
    <row r="37" customFormat="false" ht="11.25" hidden="false" customHeight="true" outlineLevel="0" collapsed="false">
      <c r="A37" s="406" t="n">
        <v>37</v>
      </c>
    </row>
    <row r="38" customFormat="false" ht="11.25" hidden="false" customHeight="true" outlineLevel="0" collapsed="false">
      <c r="A38" s="406" t="n">
        <v>38</v>
      </c>
    </row>
    <row r="39" customFormat="false" ht="11.25" hidden="false" customHeight="true" outlineLevel="0" collapsed="false">
      <c r="A39" s="406" t="n">
        <v>39</v>
      </c>
    </row>
    <row r="40" customFormat="false" ht="11.25" hidden="false" customHeight="true" outlineLevel="0" collapsed="false">
      <c r="A40" s="406" t="n">
        <v>40</v>
      </c>
    </row>
    <row r="41" customFormat="false" ht="11.25" hidden="false" customHeight="true" outlineLevel="0" collapsed="false">
      <c r="A41" s="406" t="n">
        <v>41</v>
      </c>
    </row>
    <row r="42" customFormat="false" ht="11.25" hidden="false" customHeight="true" outlineLevel="0" collapsed="false">
      <c r="A42" s="406" t="n">
        <v>42</v>
      </c>
    </row>
    <row r="43" customFormat="false" ht="11.25" hidden="false" customHeight="true" outlineLevel="0" collapsed="false">
      <c r="A43" s="406" t="n">
        <v>43</v>
      </c>
    </row>
    <row r="44" customFormat="false" ht="11.25" hidden="false" customHeight="true" outlineLevel="0" collapsed="false">
      <c r="A44" s="406" t="n">
        <v>44</v>
      </c>
    </row>
    <row r="45" customFormat="false" ht="11.25" hidden="false" customHeight="true" outlineLevel="0" collapsed="false">
      <c r="A45" s="406" t="n">
        <v>45</v>
      </c>
    </row>
    <row r="46" customFormat="false" ht="11.25" hidden="false" customHeight="true" outlineLevel="0" collapsed="false">
      <c r="A46" s="406" t="n">
        <v>46</v>
      </c>
    </row>
    <row r="47" customFormat="false" ht="11.25" hidden="false" customHeight="true" outlineLevel="0" collapsed="false">
      <c r="A47" s="406" t="n">
        <v>47</v>
      </c>
    </row>
    <row r="48" customFormat="false" ht="11.25" hidden="false" customHeight="true" outlineLevel="0" collapsed="false">
      <c r="A48" s="406" t="n">
        <v>48</v>
      </c>
      <c r="AV48" s="406" t="n">
        <v>48</v>
      </c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LibreOffice/7.4.3.2$Windows_X86_64 LibreOffice_project/1048a8393ae2eeec98dff31b5c133c5f1d08b890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2003-06-17T15:38:32Z</dcterms:created>
  <dc:creator>Dr. Robert Adunka</dc:creator>
  <dc:description/>
  <dc:language>en-IN</dc:language>
  <cp:lastModifiedBy>Rayk Glasenapp (PS-SD/ERS1)</cp:lastModifiedBy>
  <cp:lastPrinted>2014-12-08T18:41:13Z</cp:lastPrinted>
  <dcterms:modified xsi:type="dcterms:W3CDTF">2018-12-13T11:32:41Z</dcterms:modified>
  <cp:revision>0</cp:revision>
  <dc:subject/>
  <dc:title>MATRIX 2003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